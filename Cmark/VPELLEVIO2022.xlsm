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38" codeName="{00000000-0000-0000-0000-000000000000}"/>
  <workbookPr showInkAnnotation="0" updateLinks="never" codeName="ThisWorkbook" defaultThemeVersion="124226"/>
  <mc:AlternateContent xmlns:mc="http://schemas.openxmlformats.org/markup-compatibility/2006">
    <mc:Choice Requires="x15">
      <x15ac:absPath xmlns:x15ac="http://schemas.microsoft.com/office/spreadsheetml/2010/11/ac" url="H:\AA Dokument\AA Mina dokument\00 VP 2022\"/>
    </mc:Choice>
  </mc:AlternateContent>
  <xr:revisionPtr revIDLastSave="0" documentId="13_ncr:1_{DFAAB95F-44EC-4AD5-A613-97A7B8FDF3FD}" xr6:coauthVersionLast="36" xr6:coauthVersionMax="46" xr10:uidLastSave="{00000000-0000-0000-0000-000000000000}"/>
  <bookViews>
    <workbookView xWindow="-120" yWindow="-120" windowWidth="29040" windowHeight="15840" firstSheet="8" activeTab="4" xr2:uid="{00000000-000D-0000-FFFF-FFFF00000000}"/>
  </bookViews>
  <sheets>
    <sheet name="Moms" sheetId="30" state="hidden" r:id="rId1"/>
    <sheet name="Produkter" sheetId="32" state="hidden" r:id="rId2"/>
    <sheet name="Moms- och bokf grupp" sheetId="33" state="hidden" r:id="rId3"/>
    <sheet name="Manual" sheetId="35" r:id="rId4"/>
    <sheet name="Sammandrag" sheetId="3" r:id="rId5"/>
    <sheet name="Åker" sheetId="6" r:id="rId6"/>
    <sheet name="Skog" sheetId="28" r:id="rId7"/>
    <sheet name="Indata" sheetId="4" r:id="rId8"/>
    <sheet name="Nätstationer &amp; Kabelskåp" sheetId="12" r:id="rId9"/>
    <sheet name="Fakturaunderlag lokalnät" sheetId="26" r:id="rId10"/>
    <sheet name="Tabelldata åker" sheetId="8" state="hidden" r:id="rId11"/>
    <sheet name="Avståndstabell" sheetId="9" state="hidden" r:id="rId12"/>
    <sheet name="Inläsning utbetalning" sheetId="29" state="hidden" r:id="rId13"/>
  </sheets>
  <externalReferences>
    <externalReference r:id="rId14"/>
    <externalReference r:id="rId15"/>
    <externalReference r:id="rId16"/>
    <externalReference r:id="rId17"/>
  </externalReferences>
  <definedNames>
    <definedName name="_xlnm._FilterDatabase" localSheetId="2" hidden="1">'Moms- och bokf grupp'!$C$2:$X$32</definedName>
    <definedName name="_xlnm._FilterDatabase" localSheetId="1" hidden="1">Produkter!$C$2:$K$2</definedName>
    <definedName name="_xlnm._FilterDatabase" localSheetId="4" hidden="1">Sammandrag!$AD$19:$AD$26</definedName>
    <definedName name="Bergvikbolag">[1]Bergvikbolag!$B$2:$B$4</definedName>
    <definedName name="D">Sammandrag!$AB$30</definedName>
    <definedName name="Ersättn">'Tabelldata åker'!$B:$B</definedName>
    <definedName name="Ersättnbete">#REF!</definedName>
    <definedName name="ErsättnImp">#REF!</definedName>
    <definedName name="Ersättnåker">#REF!</definedName>
    <definedName name="Intrång">#REF!</definedName>
    <definedName name="kr_m2">#REF!</definedName>
    <definedName name="Markslag">#REF!</definedName>
    <definedName name="p">Åker!$C$5</definedName>
    <definedName name="Pris">#REF!</definedName>
    <definedName name="PRISLISTA" localSheetId="10">#REF!,#REF!,#REF!,#REF!,#REF!</definedName>
    <definedName name="PRISLISTA">#REF!,#REF!,#REF!,#REF!,#REF!</definedName>
    <definedName name="Procent">Avståndstabell!$B:$B</definedName>
    <definedName name="Proddata">Avståndstabell!$A:$A</definedName>
    <definedName name="Produktionsomr">#REF!</definedName>
    <definedName name="ProOmr">Åker!$Y$1:$Y$4</definedName>
    <definedName name="Sökbegr">'Tabelldata åker'!$A:$A</definedName>
    <definedName name="Söknr">#REF!</definedName>
    <definedName name="T">[1]Värderingsprotokoll!$E$7:$E$11</definedName>
    <definedName name="Testrutor">#REF!,#REF!,#REF!</definedName>
    <definedName name="Tillväxtområde">#REF!</definedName>
    <definedName name="_xlnm.Print_Area" localSheetId="7">Indata!$A$1:$L$25</definedName>
    <definedName name="_xlnm.Print_Area" localSheetId="4">Sammandrag!$A$1:$AC$49</definedName>
    <definedName name="_xlnm.Print_Area" localSheetId="5">Åker!$A$1:$N$51</definedName>
  </definedNames>
  <calcPr calcId="179020" calcCompleted="0"/>
</workbook>
</file>

<file path=xl/calcChain.xml><?xml version="1.0" encoding="utf-8"?>
<calcChain xmlns="http://schemas.openxmlformats.org/spreadsheetml/2006/main">
  <c r="Q27" i="4" l="1"/>
  <c r="AB19" i="3"/>
  <c r="W13" i="3"/>
  <c r="AB21" i="3"/>
  <c r="A21" i="3"/>
  <c r="C68" i="26"/>
  <c r="B3" i="12"/>
  <c r="J21" i="4"/>
  <c r="E13" i="4"/>
  <c r="H15" i="12"/>
  <c r="AB20" i="3"/>
  <c r="C15" i="12"/>
  <c r="U20" i="3"/>
  <c r="C14" i="12"/>
  <c r="U22" i="3"/>
  <c r="AB22" i="3"/>
  <c r="AC26" i="3"/>
  <c r="AD26" i="3"/>
  <c r="C46" i="3"/>
  <c r="C3" i="26"/>
  <c r="AA30" i="26"/>
  <c r="AA29" i="26"/>
  <c r="AA28" i="26"/>
  <c r="AA27" i="26"/>
  <c r="AA26" i="26"/>
  <c r="AA25" i="26"/>
  <c r="AA24" i="26"/>
  <c r="G7" i="26"/>
  <c r="G14" i="26"/>
  <c r="G11" i="26"/>
  <c r="I30" i="26"/>
  <c r="I27" i="26"/>
  <c r="I26" i="26"/>
  <c r="B3" i="6"/>
  <c r="O38" i="3"/>
  <c r="AB31" i="3"/>
  <c r="D5" i="28"/>
  <c r="C15" i="26"/>
  <c r="D5" i="29"/>
  <c r="D17" i="26"/>
  <c r="C14" i="26"/>
  <c r="D11" i="26"/>
  <c r="T28" i="26"/>
  <c r="T30" i="26"/>
  <c r="T26" i="26"/>
  <c r="X30" i="26"/>
  <c r="X29" i="26"/>
  <c r="X28" i="26"/>
  <c r="X27" i="26"/>
  <c r="X26" i="26"/>
  <c r="X25" i="26"/>
  <c r="X24" i="26"/>
  <c r="T29" i="26"/>
  <c r="T27" i="26"/>
  <c r="T25" i="26"/>
  <c r="T24" i="26"/>
  <c r="Q30" i="26"/>
  <c r="Q29" i="26"/>
  <c r="Q28" i="26"/>
  <c r="Q27" i="26"/>
  <c r="Q26" i="26"/>
  <c r="Q25" i="26"/>
  <c r="Q24" i="26"/>
  <c r="G5" i="26"/>
  <c r="W24" i="26"/>
  <c r="W30" i="26"/>
  <c r="G69" i="26"/>
  <c r="AB18" i="3"/>
  <c r="W25" i="26"/>
  <c r="W29" i="26"/>
  <c r="W28" i="26"/>
  <c r="W27" i="26"/>
  <c r="W26" i="26"/>
  <c r="C17" i="26"/>
  <c r="E5" i="29"/>
  <c r="AE24" i="26"/>
  <c r="P24" i="26"/>
  <c r="AE25" i="26"/>
  <c r="P25" i="26"/>
  <c r="AE26" i="26"/>
  <c r="P26" i="26"/>
  <c r="AE27" i="26"/>
  <c r="P27" i="26"/>
  <c r="AE28" i="26"/>
  <c r="P28" i="26"/>
  <c r="AE29" i="26"/>
  <c r="P29" i="26"/>
  <c r="AE30" i="26"/>
  <c r="P30" i="26"/>
  <c r="AE31" i="26"/>
  <c r="AE32" i="26"/>
  <c r="AE33" i="26"/>
  <c r="AE34" i="26"/>
  <c r="AE35" i="26"/>
  <c r="AE36" i="26"/>
  <c r="AE37" i="26"/>
  <c r="AE38" i="26"/>
  <c r="AE39" i="26"/>
  <c r="AE40" i="26"/>
  <c r="AE41" i="26"/>
  <c r="AE42" i="26"/>
  <c r="AE43" i="26"/>
  <c r="AE44" i="26"/>
  <c r="AE45" i="26"/>
  <c r="AE46" i="26"/>
  <c r="AE47" i="26"/>
  <c r="AE48" i="26"/>
  <c r="AE49" i="26"/>
  <c r="AE50" i="26"/>
  <c r="AE51" i="26"/>
  <c r="AE52" i="26"/>
  <c r="AE53" i="26"/>
  <c r="AE54" i="26"/>
  <c r="AE55" i="26"/>
  <c r="AE56" i="26"/>
  <c r="AE57" i="26"/>
  <c r="AE58" i="26"/>
  <c r="AE59" i="26"/>
  <c r="AE60" i="26"/>
  <c r="AE61" i="26"/>
  <c r="AE62" i="26"/>
  <c r="AE63" i="26"/>
  <c r="AE64" i="26"/>
  <c r="AE65" i="26"/>
  <c r="AE23" i="26"/>
  <c r="I65" i="26"/>
  <c r="I64" i="26"/>
  <c r="I63" i="26"/>
  <c r="I62" i="26"/>
  <c r="I61" i="26"/>
  <c r="I60" i="26"/>
  <c r="I59" i="26"/>
  <c r="I58" i="26"/>
  <c r="I57" i="26"/>
  <c r="I56" i="26"/>
  <c r="I55" i="26"/>
  <c r="I54" i="26"/>
  <c r="I53" i="26"/>
  <c r="I52" i="26"/>
  <c r="I51" i="26"/>
  <c r="I50" i="26"/>
  <c r="I49" i="26"/>
  <c r="I48" i="26"/>
  <c r="I47" i="26"/>
  <c r="I46" i="26"/>
  <c r="I45" i="26"/>
  <c r="I44" i="26"/>
  <c r="I43" i="26"/>
  <c r="I42" i="26"/>
  <c r="I41" i="26"/>
  <c r="I40" i="26"/>
  <c r="I39" i="26"/>
  <c r="I38" i="26"/>
  <c r="I37" i="26"/>
  <c r="I36" i="26"/>
  <c r="I35" i="26"/>
  <c r="I34" i="26"/>
  <c r="I33" i="26"/>
  <c r="I32" i="26"/>
  <c r="I31" i="26"/>
  <c r="I29" i="26"/>
  <c r="I28" i="26"/>
  <c r="I25" i="26"/>
  <c r="I24" i="26"/>
  <c r="I23" i="26"/>
  <c r="A287" i="33"/>
  <c r="A286" i="33"/>
  <c r="A285" i="33"/>
  <c r="A284" i="33"/>
  <c r="A283" i="33"/>
  <c r="A282" i="33"/>
  <c r="A281" i="33"/>
  <c r="A280" i="33"/>
  <c r="A279" i="33"/>
  <c r="A278" i="33"/>
  <c r="A277" i="33"/>
  <c r="A276" i="33"/>
  <c r="A275" i="33"/>
  <c r="A274" i="33"/>
  <c r="A273" i="33"/>
  <c r="A272" i="33"/>
  <c r="A271" i="33"/>
  <c r="A270" i="33"/>
  <c r="A269" i="33"/>
  <c r="A268" i="33"/>
  <c r="A267" i="33"/>
  <c r="A266" i="33"/>
  <c r="A265" i="33"/>
  <c r="A264" i="33"/>
  <c r="A263" i="33"/>
  <c r="A262" i="33"/>
  <c r="A261" i="33"/>
  <c r="A260" i="33"/>
  <c r="A259" i="33"/>
  <c r="A258" i="33"/>
  <c r="A257" i="33"/>
  <c r="A256" i="33"/>
  <c r="A255" i="33"/>
  <c r="A254" i="33"/>
  <c r="A253" i="33"/>
  <c r="A252" i="33"/>
  <c r="A251" i="33"/>
  <c r="A250" i="33"/>
  <c r="A249" i="33"/>
  <c r="A248" i="33"/>
  <c r="A247" i="33"/>
  <c r="A246" i="33"/>
  <c r="A245" i="33"/>
  <c r="A244" i="33"/>
  <c r="A243" i="33"/>
  <c r="A242" i="33"/>
  <c r="A241" i="33"/>
  <c r="A240" i="33"/>
  <c r="A239" i="33"/>
  <c r="A238" i="33"/>
  <c r="A237" i="33"/>
  <c r="A236" i="33"/>
  <c r="A235" i="33"/>
  <c r="A234" i="33"/>
  <c r="A233" i="33"/>
  <c r="A232" i="33"/>
  <c r="A231" i="33"/>
  <c r="A230" i="33"/>
  <c r="A229" i="33"/>
  <c r="A228" i="33"/>
  <c r="A227" i="33"/>
  <c r="A226" i="33"/>
  <c r="A225" i="33"/>
  <c r="A224" i="33"/>
  <c r="A223" i="33"/>
  <c r="A222" i="33"/>
  <c r="A221" i="33"/>
  <c r="A220" i="33"/>
  <c r="A219" i="33"/>
  <c r="A218" i="33"/>
  <c r="A217" i="33"/>
  <c r="A216" i="33"/>
  <c r="A215" i="33"/>
  <c r="A214" i="33"/>
  <c r="A213" i="33"/>
  <c r="A212" i="33"/>
  <c r="A211" i="33"/>
  <c r="A210" i="33"/>
  <c r="A209" i="33"/>
  <c r="A208" i="33"/>
  <c r="A207" i="33"/>
  <c r="A206" i="33"/>
  <c r="A205" i="33"/>
  <c r="A204" i="33"/>
  <c r="A203" i="33"/>
  <c r="A202" i="33"/>
  <c r="A201" i="33"/>
  <c r="A200" i="33"/>
  <c r="A199" i="33"/>
  <c r="A198" i="33"/>
  <c r="A197" i="33"/>
  <c r="A196" i="33"/>
  <c r="A195" i="33"/>
  <c r="A194" i="33"/>
  <c r="A193" i="33"/>
  <c r="A192" i="33"/>
  <c r="A191" i="33"/>
  <c r="A190" i="33"/>
  <c r="A189" i="33"/>
  <c r="A188" i="33"/>
  <c r="A187" i="33"/>
  <c r="A186" i="33"/>
  <c r="A185" i="33"/>
  <c r="A184" i="33"/>
  <c r="A183" i="33"/>
  <c r="A182" i="33"/>
  <c r="A181" i="33"/>
  <c r="A180" i="33"/>
  <c r="A179" i="33"/>
  <c r="A178" i="33"/>
  <c r="A177" i="33"/>
  <c r="A176" i="33"/>
  <c r="A175" i="33"/>
  <c r="A174" i="33"/>
  <c r="A173" i="33"/>
  <c r="A172" i="33"/>
  <c r="A171" i="33"/>
  <c r="A170" i="33"/>
  <c r="A169" i="33"/>
  <c r="A168" i="33"/>
  <c r="A167" i="33"/>
  <c r="A166" i="33"/>
  <c r="A165" i="33"/>
  <c r="A164" i="33"/>
  <c r="A163" i="33"/>
  <c r="A162" i="33"/>
  <c r="A161" i="33"/>
  <c r="A160" i="33"/>
  <c r="A159" i="33"/>
  <c r="A158" i="33"/>
  <c r="A157" i="33"/>
  <c r="A156" i="33"/>
  <c r="A155" i="33"/>
  <c r="A154" i="33"/>
  <c r="A153" i="33"/>
  <c r="A152" i="33"/>
  <c r="A151" i="33"/>
  <c r="A150" i="33"/>
  <c r="A149" i="33"/>
  <c r="A148" i="33"/>
  <c r="A147" i="33"/>
  <c r="A146" i="33"/>
  <c r="A145" i="33"/>
  <c r="A144" i="33"/>
  <c r="A143" i="33"/>
  <c r="A142" i="33"/>
  <c r="A141" i="33"/>
  <c r="A140" i="33"/>
  <c r="A139" i="33"/>
  <c r="A138" i="33"/>
  <c r="A137" i="33"/>
  <c r="A136" i="33"/>
  <c r="A135" i="33"/>
  <c r="A134" i="33"/>
  <c r="A133" i="33"/>
  <c r="A132" i="33"/>
  <c r="A131" i="33"/>
  <c r="A130" i="33"/>
  <c r="A129" i="33"/>
  <c r="A128" i="33"/>
  <c r="A127" i="33"/>
  <c r="A126" i="33"/>
  <c r="A125" i="33"/>
  <c r="A124" i="33"/>
  <c r="A123" i="33"/>
  <c r="A122" i="33"/>
  <c r="A121" i="33"/>
  <c r="A120" i="33"/>
  <c r="A119" i="33"/>
  <c r="A118" i="33"/>
  <c r="A117" i="33"/>
  <c r="A116" i="33"/>
  <c r="A115" i="33"/>
  <c r="A114" i="33"/>
  <c r="A113" i="33"/>
  <c r="A112" i="33"/>
  <c r="A111" i="33"/>
  <c r="A110" i="33"/>
  <c r="A109" i="33"/>
  <c r="A108" i="33"/>
  <c r="A107" i="33"/>
  <c r="A106" i="33"/>
  <c r="A105" i="33"/>
  <c r="A104" i="33"/>
  <c r="A103" i="33"/>
  <c r="A102" i="33"/>
  <c r="A101" i="33"/>
  <c r="A100" i="33"/>
  <c r="A99" i="33"/>
  <c r="A98" i="33"/>
  <c r="A97" i="33"/>
  <c r="A96" i="33"/>
  <c r="A95" i="33"/>
  <c r="A94" i="33"/>
  <c r="A93" i="33"/>
  <c r="A92" i="33"/>
  <c r="A91" i="33"/>
  <c r="A90" i="33"/>
  <c r="A89" i="33"/>
  <c r="A88" i="33"/>
  <c r="A87" i="33"/>
  <c r="A86" i="33"/>
  <c r="A85" i="33"/>
  <c r="A84" i="33"/>
  <c r="A83" i="33"/>
  <c r="A82" i="33"/>
  <c r="A81" i="33"/>
  <c r="A80" i="33"/>
  <c r="A79" i="33"/>
  <c r="A78" i="33"/>
  <c r="A77" i="33"/>
  <c r="A76" i="33"/>
  <c r="A75" i="33"/>
  <c r="A74" i="33"/>
  <c r="A73" i="33"/>
  <c r="A72" i="33"/>
  <c r="A71" i="33"/>
  <c r="A70" i="33"/>
  <c r="A69" i="33"/>
  <c r="A68" i="33"/>
  <c r="A67" i="33"/>
  <c r="A66" i="33"/>
  <c r="A65" i="33"/>
  <c r="A64" i="33"/>
  <c r="A63" i="33"/>
  <c r="A62" i="33"/>
  <c r="A61" i="33"/>
  <c r="A60" i="33"/>
  <c r="A59" i="33"/>
  <c r="A58" i="33"/>
  <c r="A57" i="33"/>
  <c r="A56" i="33"/>
  <c r="A55" i="33"/>
  <c r="A54" i="33"/>
  <c r="A53" i="33"/>
  <c r="A52" i="33"/>
  <c r="A51" i="33"/>
  <c r="A50" i="33"/>
  <c r="A49" i="33"/>
  <c r="A48" i="33"/>
  <c r="A47" i="33"/>
  <c r="A46" i="33"/>
  <c r="A45" i="33"/>
  <c r="A44" i="33"/>
  <c r="A43" i="33"/>
  <c r="A42" i="33"/>
  <c r="A41" i="33"/>
  <c r="A40" i="33"/>
  <c r="A39" i="33"/>
  <c r="A38" i="33"/>
  <c r="A37" i="33"/>
  <c r="A36" i="33"/>
  <c r="A35" i="33"/>
  <c r="A34" i="33"/>
  <c r="A33" i="33"/>
  <c r="O32" i="33"/>
  <c r="N32" i="33"/>
  <c r="M32" i="33"/>
  <c r="L32" i="33"/>
  <c r="K32" i="33"/>
  <c r="J32" i="33"/>
  <c r="I32" i="33"/>
  <c r="H32" i="33"/>
  <c r="G32" i="33"/>
  <c r="F32" i="33"/>
  <c r="E32" i="33"/>
  <c r="A32" i="33"/>
  <c r="O31" i="33"/>
  <c r="N31" i="33"/>
  <c r="M31" i="33"/>
  <c r="L31" i="33"/>
  <c r="K31" i="33"/>
  <c r="J31" i="33"/>
  <c r="I31" i="33"/>
  <c r="H31" i="33"/>
  <c r="G31" i="33"/>
  <c r="F31" i="33"/>
  <c r="E31" i="33"/>
  <c r="A31" i="33"/>
  <c r="A30" i="33"/>
  <c r="A29" i="33"/>
  <c r="A28" i="33"/>
  <c r="A27" i="33"/>
  <c r="A26" i="33"/>
  <c r="A25" i="33"/>
  <c r="A24" i="33"/>
  <c r="A23" i="33"/>
  <c r="A22" i="33"/>
  <c r="A21" i="33"/>
  <c r="A20" i="33"/>
  <c r="A19" i="33"/>
  <c r="A18" i="33"/>
  <c r="A17" i="33"/>
  <c r="A16" i="33"/>
  <c r="A15" i="33"/>
  <c r="A14" i="33"/>
  <c r="A13" i="33"/>
  <c r="A12" i="33"/>
  <c r="A11" i="33"/>
  <c r="A10" i="33"/>
  <c r="A9" i="33"/>
  <c r="A8" i="33"/>
  <c r="A7" i="33"/>
  <c r="A6" i="33"/>
  <c r="A5" i="33"/>
  <c r="A4" i="33"/>
  <c r="A3" i="33"/>
  <c r="B31" i="32"/>
  <c r="B3" i="32"/>
  <c r="O3" i="32"/>
  <c r="P3" i="32"/>
  <c r="M3" i="32"/>
  <c r="A1" i="32"/>
  <c r="J5" i="29"/>
  <c r="I5" i="29"/>
  <c r="H5" i="29"/>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23" i="26"/>
  <c r="AD31" i="26"/>
  <c r="AD32" i="26"/>
  <c r="AD33" i="26"/>
  <c r="AD34" i="26"/>
  <c r="AD35" i="26"/>
  <c r="AD36" i="26"/>
  <c r="AD37" i="26"/>
  <c r="AD38" i="26"/>
  <c r="AD39" i="26"/>
  <c r="AD40" i="26"/>
  <c r="AD41" i="26"/>
  <c r="AD42" i="26"/>
  <c r="AD43" i="26"/>
  <c r="AD44" i="26"/>
  <c r="AD45" i="26"/>
  <c r="AD46" i="26"/>
  <c r="AD47" i="26"/>
  <c r="AD48" i="26"/>
  <c r="AD49" i="26"/>
  <c r="AD50" i="26"/>
  <c r="AD51" i="26"/>
  <c r="AD52" i="26"/>
  <c r="AD53" i="26"/>
  <c r="AD54" i="26"/>
  <c r="AD55" i="26"/>
  <c r="AD56" i="26"/>
  <c r="AD57" i="26"/>
  <c r="AD58" i="26"/>
  <c r="AD59" i="26"/>
  <c r="AD60" i="26"/>
  <c r="AD61" i="26"/>
  <c r="AD62" i="26"/>
  <c r="AD63" i="26"/>
  <c r="AD64" i="26"/>
  <c r="AD65" i="26"/>
  <c r="AD23" i="26"/>
  <c r="B192" i="32"/>
  <c r="B63" i="32"/>
  <c r="B64" i="32"/>
  <c r="T23" i="26"/>
  <c r="P23" i="26"/>
  <c r="AB23" i="26"/>
  <c r="O23" i="26"/>
  <c r="S23" i="26"/>
  <c r="R23" i="26"/>
  <c r="Q23" i="26"/>
  <c r="AB62" i="26"/>
  <c r="AB58" i="26"/>
  <c r="AB54" i="26"/>
  <c r="AB50" i="26"/>
  <c r="AB46" i="26"/>
  <c r="AB42" i="26"/>
  <c r="AB38" i="26"/>
  <c r="AB34" i="26"/>
  <c r="AB65" i="26"/>
  <c r="AB61" i="26"/>
  <c r="AB57" i="26"/>
  <c r="AB53" i="26"/>
  <c r="AB49" i="26"/>
  <c r="AB45" i="26"/>
  <c r="AB41" i="26"/>
  <c r="AB37" i="26"/>
  <c r="AB33" i="26"/>
  <c r="AB64" i="26"/>
  <c r="AB60" i="26"/>
  <c r="AB56" i="26"/>
  <c r="AB52" i="26"/>
  <c r="AB48" i="26"/>
  <c r="AB44" i="26"/>
  <c r="AB40" i="26"/>
  <c r="AB36" i="26"/>
  <c r="AB32" i="26"/>
  <c r="AB63" i="26"/>
  <c r="AB59" i="26"/>
  <c r="AB55" i="26"/>
  <c r="AB51" i="26"/>
  <c r="AB47" i="26"/>
  <c r="AB43" i="26"/>
  <c r="AB39" i="26"/>
  <c r="AB35" i="26"/>
  <c r="AB31" i="26"/>
  <c r="B185" i="32"/>
  <c r="B19" i="32"/>
  <c r="B128" i="32"/>
  <c r="B11" i="32"/>
  <c r="B28" i="32"/>
  <c r="B121" i="32"/>
  <c r="B178" i="32"/>
  <c r="B195" i="32"/>
  <c r="B191" i="32"/>
  <c r="B187" i="32"/>
  <c r="B183" i="32"/>
  <c r="B179" i="32"/>
  <c r="B175" i="32"/>
  <c r="B171" i="32"/>
  <c r="B167" i="32"/>
  <c r="B163" i="32"/>
  <c r="B159" i="32"/>
  <c r="B155" i="32"/>
  <c r="B151" i="32"/>
  <c r="B147" i="32"/>
  <c r="B143" i="32"/>
  <c r="B139" i="32"/>
  <c r="B135" i="32"/>
  <c r="B131" i="32"/>
  <c r="B127" i="32"/>
  <c r="B123" i="32"/>
  <c r="B119" i="32"/>
  <c r="B115" i="32"/>
  <c r="B114" i="32"/>
  <c r="B113" i="32"/>
  <c r="B112" i="32"/>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0" i="32"/>
  <c r="B29" i="32"/>
  <c r="B25" i="32"/>
  <c r="B197" i="32"/>
  <c r="B190" i="32"/>
  <c r="B188" i="32"/>
  <c r="B181" i="32"/>
  <c r="B174" i="32"/>
  <c r="B172" i="32"/>
  <c r="B165" i="32"/>
  <c r="B158" i="32"/>
  <c r="B156" i="32"/>
  <c r="B149" i="32"/>
  <c r="B142" i="32"/>
  <c r="B140" i="32"/>
  <c r="B133" i="32"/>
  <c r="B126" i="32"/>
  <c r="B124" i="32"/>
  <c r="B117" i="32"/>
  <c r="B27" i="32"/>
  <c r="B21" i="32"/>
  <c r="B17" i="32"/>
  <c r="B13" i="32"/>
  <c r="B9" i="32"/>
  <c r="B193" i="32"/>
  <c r="B186" i="32"/>
  <c r="B184" i="32"/>
  <c r="B177" i="32"/>
  <c r="B170" i="32"/>
  <c r="B168" i="32"/>
  <c r="B161" i="32"/>
  <c r="B154" i="32"/>
  <c r="B152" i="32"/>
  <c r="B145" i="32"/>
  <c r="B138" i="32"/>
  <c r="B129" i="32"/>
  <c r="B122" i="32"/>
  <c r="B18" i="32"/>
  <c r="B14" i="32"/>
  <c r="B5" i="32"/>
  <c r="B189" i="32"/>
  <c r="B180" i="32"/>
  <c r="B166" i="32"/>
  <c r="B164" i="32"/>
  <c r="B157" i="32"/>
  <c r="B150" i="32"/>
  <c r="B148" i="32"/>
  <c r="B141" i="32"/>
  <c r="B134" i="32"/>
  <c r="B132" i="32"/>
  <c r="B125" i="32"/>
  <c r="B136" i="32"/>
  <c r="B120" i="32"/>
  <c r="B22" i="32"/>
  <c r="B10" i="32"/>
  <c r="B6" i="32"/>
  <c r="B4" i="32"/>
  <c r="B196" i="32"/>
  <c r="B182" i="32"/>
  <c r="B173" i="32"/>
  <c r="B118" i="32"/>
  <c r="B116" i="32"/>
  <c r="B12" i="32"/>
  <c r="B20" i="32"/>
  <c r="B130" i="32"/>
  <c r="B137" i="32"/>
  <c r="B144" i="32"/>
  <c r="B194" i="32"/>
  <c r="B7" i="32"/>
  <c r="B15" i="32"/>
  <c r="B23" i="32"/>
  <c r="B26" i="32"/>
  <c r="B146" i="32"/>
  <c r="B153" i="32"/>
  <c r="B160" i="32"/>
  <c r="B8" i="32"/>
  <c r="B16" i="32"/>
  <c r="B24" i="32"/>
  <c r="B162" i="32"/>
  <c r="B169" i="32"/>
  <c r="B176" i="32"/>
  <c r="O4" i="32"/>
  <c r="P4" i="32"/>
  <c r="M4" i="32"/>
  <c r="O5" i="32"/>
  <c r="P5" i="32"/>
  <c r="M5" i="32"/>
  <c r="O6" i="32"/>
  <c r="P6" i="32"/>
  <c r="O7" i="32"/>
  <c r="P7" i="32"/>
  <c r="M6" i="32"/>
  <c r="O8" i="32"/>
  <c r="P8" i="32"/>
  <c r="M8" i="32"/>
  <c r="M7" i="32"/>
  <c r="O9" i="32"/>
  <c r="P9" i="32"/>
  <c r="M9" i="32"/>
  <c r="O10" i="32"/>
  <c r="P10" i="32"/>
  <c r="O11" i="32"/>
  <c r="P11" i="32"/>
  <c r="M10" i="32"/>
  <c r="M11" i="32"/>
  <c r="O12" i="32"/>
  <c r="P12" i="32"/>
  <c r="M12" i="32"/>
  <c r="O13" i="32"/>
  <c r="P13" i="32"/>
  <c r="M13" i="32"/>
  <c r="O14" i="32"/>
  <c r="P14" i="32"/>
  <c r="O15" i="32"/>
  <c r="P15" i="32"/>
  <c r="M14" i="32"/>
  <c r="M15" i="32"/>
  <c r="O16" i="32"/>
  <c r="P16" i="32"/>
  <c r="O17" i="32"/>
  <c r="P17" i="32"/>
  <c r="M16" i="32"/>
  <c r="O18" i="32"/>
  <c r="P18" i="32"/>
  <c r="M17" i="32"/>
  <c r="O19" i="32"/>
  <c r="P19" i="32"/>
  <c r="M18" i="32"/>
  <c r="O20" i="32"/>
  <c r="P20" i="32"/>
  <c r="M19" i="32"/>
  <c r="M20" i="32"/>
  <c r="O21" i="32"/>
  <c r="P21" i="32"/>
  <c r="M21" i="32"/>
  <c r="O22" i="32"/>
  <c r="P22" i="32"/>
  <c r="O23" i="32"/>
  <c r="P23" i="32"/>
  <c r="M22" i="32"/>
  <c r="M23" i="32"/>
  <c r="O24" i="32"/>
  <c r="P24" i="32"/>
  <c r="O25" i="32"/>
  <c r="P25" i="32"/>
  <c r="O26" i="32"/>
  <c r="P26" i="32"/>
  <c r="O27" i="32"/>
  <c r="P27" i="32"/>
  <c r="O28" i="32"/>
  <c r="P28" i="32"/>
  <c r="O29" i="32"/>
  <c r="P29" i="32"/>
  <c r="O30" i="32"/>
  <c r="P30" i="32"/>
  <c r="M29" i="32"/>
  <c r="M30" i="32"/>
  <c r="O31" i="32"/>
  <c r="P31" i="32"/>
  <c r="O32" i="32"/>
  <c r="P32" i="32"/>
  <c r="M31" i="32"/>
  <c r="O33" i="32"/>
  <c r="P33" i="32"/>
  <c r="M32" i="32"/>
  <c r="O34" i="32"/>
  <c r="P34" i="32"/>
  <c r="M33" i="32"/>
  <c r="M34" i="32"/>
  <c r="O35" i="32"/>
  <c r="P35" i="32"/>
  <c r="O36" i="32"/>
  <c r="P36" i="32"/>
  <c r="M35" i="32"/>
  <c r="O37" i="32"/>
  <c r="P37" i="32"/>
  <c r="M36" i="32"/>
  <c r="M37" i="32"/>
  <c r="O38" i="32"/>
  <c r="P38" i="32"/>
  <c r="O39" i="32"/>
  <c r="P39" i="32"/>
  <c r="M38" i="32"/>
  <c r="O40" i="32"/>
  <c r="P40" i="32"/>
  <c r="M39" i="32"/>
  <c r="O41" i="32"/>
  <c r="P41" i="32"/>
  <c r="M40" i="32"/>
  <c r="O42" i="32"/>
  <c r="P42" i="32"/>
  <c r="M41" i="32"/>
  <c r="M42" i="32"/>
  <c r="O43" i="32"/>
  <c r="P43" i="32"/>
  <c r="O44" i="32"/>
  <c r="P44" i="32"/>
  <c r="M43" i="32"/>
  <c r="O45" i="32"/>
  <c r="P45" i="32"/>
  <c r="M44" i="32"/>
  <c r="M45" i="32"/>
  <c r="O46" i="32"/>
  <c r="P46" i="32"/>
  <c r="O47" i="32"/>
  <c r="P47" i="32"/>
  <c r="M46" i="32"/>
  <c r="O48" i="32"/>
  <c r="P48" i="32"/>
  <c r="M47" i="32"/>
  <c r="O49" i="32"/>
  <c r="P49" i="32"/>
  <c r="M48" i="32"/>
  <c r="O50" i="32"/>
  <c r="P50" i="32"/>
  <c r="M49" i="32"/>
  <c r="M50" i="32"/>
  <c r="O51" i="32"/>
  <c r="P51" i="32"/>
  <c r="O52" i="32"/>
  <c r="P52" i="32"/>
  <c r="M51" i="32"/>
  <c r="M52" i="32"/>
  <c r="O53" i="32"/>
  <c r="P53" i="32"/>
  <c r="M53" i="32"/>
  <c r="O54" i="32"/>
  <c r="P54" i="32"/>
  <c r="O55" i="32"/>
  <c r="P55" i="32"/>
  <c r="M54" i="32"/>
  <c r="O56" i="32"/>
  <c r="P56" i="32"/>
  <c r="M55" i="32"/>
  <c r="O57" i="32"/>
  <c r="P57" i="32"/>
  <c r="M56" i="32"/>
  <c r="O58" i="32"/>
  <c r="P58" i="32"/>
  <c r="M57" i="32"/>
  <c r="M58" i="32"/>
  <c r="O59" i="32"/>
  <c r="P59" i="32"/>
  <c r="O60" i="32"/>
  <c r="P60" i="32"/>
  <c r="M59" i="32"/>
  <c r="M60" i="32"/>
  <c r="O61" i="32"/>
  <c r="P61" i="32"/>
  <c r="M61" i="32"/>
  <c r="O62" i="32"/>
  <c r="P62" i="32"/>
  <c r="M62" i="32"/>
  <c r="O65" i="32"/>
  <c r="P65" i="32"/>
  <c r="O66" i="32"/>
  <c r="P66" i="32"/>
  <c r="M65" i="32"/>
  <c r="M66" i="32"/>
  <c r="O67" i="32"/>
  <c r="P67" i="32"/>
  <c r="O68" i="32"/>
  <c r="P68" i="32"/>
  <c r="M67" i="32"/>
  <c r="O69" i="32"/>
  <c r="P69" i="32"/>
  <c r="M68" i="32"/>
  <c r="M69" i="32"/>
  <c r="O70" i="32"/>
  <c r="P70" i="32"/>
  <c r="M70" i="32"/>
  <c r="O71" i="32"/>
  <c r="P71" i="32"/>
  <c r="O72" i="32"/>
  <c r="P72" i="32"/>
  <c r="O73" i="32"/>
  <c r="P73" i="32"/>
  <c r="M72" i="32"/>
  <c r="O74" i="32"/>
  <c r="P74" i="32"/>
  <c r="M73" i="32"/>
  <c r="O75" i="32"/>
  <c r="P75" i="32"/>
  <c r="M74" i="32"/>
  <c r="O76" i="32"/>
  <c r="P76" i="32"/>
  <c r="M75" i="32"/>
  <c r="O77" i="32"/>
  <c r="P77" i="32"/>
  <c r="M76" i="32"/>
  <c r="M77" i="32"/>
  <c r="O78" i="32"/>
  <c r="P78" i="32"/>
  <c r="O79" i="32"/>
  <c r="P79" i="32"/>
  <c r="M78" i="32"/>
  <c r="O80" i="32"/>
  <c r="P80" i="32"/>
  <c r="M79" i="32"/>
  <c r="M80" i="32"/>
  <c r="O81" i="32"/>
  <c r="P81" i="32"/>
  <c r="O82" i="32"/>
  <c r="P82" i="32"/>
  <c r="M81" i="32"/>
  <c r="O83" i="32"/>
  <c r="P83" i="32"/>
  <c r="M82" i="32"/>
  <c r="O84" i="32"/>
  <c r="P84" i="32"/>
  <c r="M83" i="32"/>
  <c r="O85" i="32"/>
  <c r="P85" i="32"/>
  <c r="M84" i="32"/>
  <c r="O86" i="32"/>
  <c r="P86" i="32"/>
  <c r="M85" i="32"/>
  <c r="M86" i="32"/>
  <c r="O87" i="32"/>
  <c r="P87" i="32"/>
  <c r="O88" i="32"/>
  <c r="P88" i="32"/>
  <c r="M87" i="32"/>
  <c r="O89" i="32"/>
  <c r="P89" i="32"/>
  <c r="M88" i="32"/>
  <c r="O90" i="32"/>
  <c r="P90" i="32"/>
  <c r="M89" i="32"/>
  <c r="O91" i="32"/>
  <c r="P91" i="32"/>
  <c r="M90" i="32"/>
  <c r="O92" i="32"/>
  <c r="P92" i="32"/>
  <c r="M91" i="32"/>
  <c r="M92" i="32"/>
  <c r="O93" i="32"/>
  <c r="P93" i="32"/>
  <c r="O94" i="32"/>
  <c r="P94" i="32"/>
  <c r="M93" i="32"/>
  <c r="O95" i="32"/>
  <c r="P95" i="32"/>
  <c r="M94" i="32"/>
  <c r="O96" i="32"/>
  <c r="P96" i="32"/>
  <c r="M95" i="32"/>
  <c r="O97" i="32"/>
  <c r="P97" i="32"/>
  <c r="M96" i="32"/>
  <c r="O98" i="32"/>
  <c r="P98" i="32"/>
  <c r="M97" i="32"/>
  <c r="O99" i="32"/>
  <c r="P99" i="32"/>
  <c r="M98" i="32"/>
  <c r="O100" i="32"/>
  <c r="P100" i="32"/>
  <c r="M99" i="32"/>
  <c r="M100" i="32"/>
  <c r="O101" i="32"/>
  <c r="P101" i="32"/>
  <c r="O102" i="32"/>
  <c r="P102" i="32"/>
  <c r="M101" i="32"/>
  <c r="M102" i="32"/>
  <c r="O103" i="32"/>
  <c r="P103" i="32"/>
  <c r="O104" i="32"/>
  <c r="P104" i="32"/>
  <c r="M103" i="32"/>
  <c r="O105" i="32"/>
  <c r="P105" i="32"/>
  <c r="M104" i="32"/>
  <c r="O106" i="32"/>
  <c r="P106" i="32"/>
  <c r="M105" i="32"/>
  <c r="O107" i="32"/>
  <c r="P107" i="32"/>
  <c r="M106" i="32"/>
  <c r="O108" i="32"/>
  <c r="P108" i="32"/>
  <c r="M107" i="32"/>
  <c r="O109" i="32"/>
  <c r="P109" i="32"/>
  <c r="M108" i="32"/>
  <c r="O110" i="32"/>
  <c r="P110" i="32"/>
  <c r="M109" i="32"/>
  <c r="O111" i="32"/>
  <c r="P111" i="32"/>
  <c r="M110" i="32"/>
  <c r="O112" i="32"/>
  <c r="P112" i="32"/>
  <c r="M111" i="32"/>
  <c r="O113" i="32"/>
  <c r="P113" i="32"/>
  <c r="M112" i="32"/>
  <c r="O114" i="32"/>
  <c r="P114" i="32"/>
  <c r="M113" i="32"/>
  <c r="O115" i="32"/>
  <c r="P115" i="32"/>
  <c r="M114" i="32"/>
  <c r="M115" i="32"/>
  <c r="O116" i="32"/>
  <c r="P116" i="32"/>
  <c r="M116" i="32"/>
  <c r="O117" i="32"/>
  <c r="P117" i="32"/>
  <c r="M117" i="32"/>
  <c r="O118" i="32"/>
  <c r="P118" i="32"/>
  <c r="M118" i="32"/>
  <c r="O119" i="32"/>
  <c r="P119" i="32"/>
  <c r="M119" i="32"/>
  <c r="O120" i="32"/>
  <c r="P120" i="32"/>
  <c r="M120" i="32"/>
  <c r="O121" i="32"/>
  <c r="P121" i="32"/>
  <c r="M121" i="32"/>
  <c r="O122" i="32"/>
  <c r="P122" i="32"/>
  <c r="M122" i="32"/>
  <c r="O123" i="32"/>
  <c r="P123" i="32"/>
  <c r="M123" i="32"/>
  <c r="O124" i="32"/>
  <c r="P124" i="32"/>
  <c r="M124" i="32"/>
  <c r="O125" i="32"/>
  <c r="P125" i="32"/>
  <c r="M125" i="32"/>
  <c r="O126" i="32"/>
  <c r="P126" i="32"/>
  <c r="M126" i="32"/>
  <c r="O127" i="32"/>
  <c r="P127" i="32"/>
  <c r="M127" i="32"/>
  <c r="O128" i="32"/>
  <c r="P128" i="32"/>
  <c r="M128" i="32"/>
  <c r="O129" i="32"/>
  <c r="P129" i="32"/>
  <c r="M129" i="32"/>
  <c r="O130" i="32"/>
  <c r="P130" i="32"/>
  <c r="M130" i="32"/>
  <c r="O131" i="32"/>
  <c r="P131" i="32"/>
  <c r="M131" i="32"/>
  <c r="O132" i="32"/>
  <c r="P132" i="32"/>
  <c r="M132" i="32"/>
  <c r="O133" i="32"/>
  <c r="P133" i="32"/>
  <c r="M133" i="32"/>
  <c r="O134" i="32"/>
  <c r="P134" i="32"/>
  <c r="M134" i="32"/>
  <c r="O135" i="32"/>
  <c r="P135" i="32"/>
  <c r="M135" i="32"/>
  <c r="O136" i="32"/>
  <c r="P136" i="32"/>
  <c r="M136" i="32"/>
  <c r="O137" i="32"/>
  <c r="P137" i="32"/>
  <c r="M137" i="32"/>
  <c r="O138" i="32"/>
  <c r="P138" i="32"/>
  <c r="M138" i="32"/>
  <c r="O139" i="32"/>
  <c r="P139" i="32"/>
  <c r="M139" i="32"/>
  <c r="O140" i="32"/>
  <c r="P140" i="32"/>
  <c r="M140" i="32"/>
  <c r="O141" i="32"/>
  <c r="P141" i="32"/>
  <c r="M141" i="32"/>
  <c r="O142" i="32"/>
  <c r="P142" i="32"/>
  <c r="M142" i="32"/>
  <c r="O143" i="32"/>
  <c r="P143" i="32"/>
  <c r="M143" i="32"/>
  <c r="O144" i="32"/>
  <c r="P144" i="32"/>
  <c r="M144" i="32"/>
  <c r="O145" i="32"/>
  <c r="P145" i="32"/>
  <c r="M145" i="32"/>
  <c r="O146" i="32"/>
  <c r="P146" i="32"/>
  <c r="M146" i="32"/>
  <c r="O147" i="32"/>
  <c r="P147" i="32"/>
  <c r="M147" i="32"/>
  <c r="O148" i="32"/>
  <c r="P148" i="32"/>
  <c r="M148" i="32"/>
  <c r="O149" i="32"/>
  <c r="P149" i="32"/>
  <c r="M149" i="32"/>
  <c r="O150" i="32"/>
  <c r="P150" i="32"/>
  <c r="M150" i="32"/>
  <c r="O151" i="32"/>
  <c r="P151" i="32"/>
  <c r="M151" i="32"/>
  <c r="O152" i="32"/>
  <c r="P152" i="32"/>
  <c r="M152" i="32"/>
  <c r="O153" i="32"/>
  <c r="P153" i="32"/>
  <c r="M153" i="32"/>
  <c r="O154" i="32"/>
  <c r="P154" i="32"/>
  <c r="M154" i="32"/>
  <c r="O155" i="32"/>
  <c r="P155" i="32"/>
  <c r="M155" i="32"/>
  <c r="O156" i="32"/>
  <c r="P156" i="32"/>
  <c r="M156" i="32"/>
  <c r="O157" i="32"/>
  <c r="P157" i="32"/>
  <c r="M157" i="32"/>
  <c r="O158" i="32"/>
  <c r="P158" i="32"/>
  <c r="M158" i="32"/>
  <c r="O159" i="32"/>
  <c r="P159" i="32"/>
  <c r="M159" i="32"/>
  <c r="O160" i="32"/>
  <c r="P160" i="32"/>
  <c r="M160" i="32"/>
  <c r="O161" i="32"/>
  <c r="P161" i="32"/>
  <c r="M161" i="32"/>
  <c r="O162" i="32"/>
  <c r="P162" i="32"/>
  <c r="M162" i="32"/>
  <c r="O163" i="32"/>
  <c r="P163" i="32"/>
  <c r="M163" i="32"/>
  <c r="O164" i="32"/>
  <c r="P164" i="32"/>
  <c r="M164" i="32"/>
  <c r="O165" i="32"/>
  <c r="P165" i="32"/>
  <c r="M165" i="32"/>
  <c r="O166" i="32"/>
  <c r="P166" i="32"/>
  <c r="M166" i="32"/>
  <c r="O167" i="32"/>
  <c r="P167" i="32"/>
  <c r="M167" i="32"/>
  <c r="O168" i="32"/>
  <c r="P168" i="32"/>
  <c r="M168" i="32"/>
  <c r="O169" i="32"/>
  <c r="P169" i="32"/>
  <c r="M169" i="32"/>
  <c r="O170" i="32"/>
  <c r="P170" i="32"/>
  <c r="M170" i="32"/>
  <c r="O171" i="32"/>
  <c r="P171" i="32"/>
  <c r="M171" i="32"/>
  <c r="O172" i="32"/>
  <c r="P172" i="32"/>
  <c r="M172" i="32"/>
  <c r="O173" i="32"/>
  <c r="P173" i="32"/>
  <c r="M173" i="32"/>
  <c r="O174" i="32"/>
  <c r="P174" i="32"/>
  <c r="M174" i="32"/>
  <c r="O175" i="32"/>
  <c r="P175" i="32"/>
  <c r="M175" i="32"/>
  <c r="O176" i="32"/>
  <c r="P176" i="32"/>
  <c r="M176" i="32"/>
  <c r="O177" i="32"/>
  <c r="P177" i="32"/>
  <c r="M177" i="32"/>
  <c r="O178" i="32"/>
  <c r="P178" i="32"/>
  <c r="M178" i="32"/>
  <c r="O179" i="32"/>
  <c r="P179" i="32"/>
  <c r="M179" i="32"/>
  <c r="O180" i="32"/>
  <c r="P180" i="32"/>
  <c r="M180" i="32"/>
  <c r="O181" i="32"/>
  <c r="P181" i="32"/>
  <c r="M181" i="32"/>
  <c r="O182" i="32"/>
  <c r="P182" i="32"/>
  <c r="M182" i="32"/>
  <c r="O183" i="32"/>
  <c r="P183" i="32"/>
  <c r="M183" i="32"/>
  <c r="O184" i="32"/>
  <c r="P184" i="32"/>
  <c r="M184" i="32"/>
  <c r="O185" i="32"/>
  <c r="P185" i="32"/>
  <c r="M185" i="32"/>
  <c r="O186" i="32"/>
  <c r="P186" i="32"/>
  <c r="M186" i="32"/>
  <c r="O187" i="32"/>
  <c r="P187" i="32"/>
  <c r="M187" i="32"/>
  <c r="O188" i="32"/>
  <c r="P188" i="32"/>
  <c r="M188" i="32"/>
  <c r="O189" i="32"/>
  <c r="P189" i="32"/>
  <c r="M189" i="32"/>
  <c r="O190" i="32"/>
  <c r="P190" i="32"/>
  <c r="M190" i="32"/>
  <c r="O191" i="32"/>
  <c r="P191" i="32"/>
  <c r="M191" i="32"/>
  <c r="O192" i="32"/>
  <c r="P192" i="32"/>
  <c r="M192" i="32"/>
  <c r="O193" i="32"/>
  <c r="P193" i="32"/>
  <c r="M193" i="32"/>
  <c r="O194" i="32"/>
  <c r="P194" i="32"/>
  <c r="M194" i="32"/>
  <c r="O195" i="32"/>
  <c r="P195" i="32"/>
  <c r="M195" i="32"/>
  <c r="O196" i="32"/>
  <c r="P196" i="32"/>
  <c r="M196" i="32"/>
  <c r="O197" i="32"/>
  <c r="P197" i="32"/>
  <c r="O198" i="32"/>
  <c r="P198" i="32"/>
  <c r="M197" i="32"/>
  <c r="O199" i="32"/>
  <c r="P199" i="32"/>
  <c r="M199" i="32"/>
  <c r="M198" i="32"/>
  <c r="G5" i="29"/>
  <c r="B8" i="29"/>
  <c r="F5" i="29"/>
  <c r="C5" i="29"/>
  <c r="B5" i="29"/>
  <c r="L32" i="3"/>
  <c r="H19" i="26"/>
  <c r="AK32" i="3"/>
  <c r="C40" i="3"/>
  <c r="AD6" i="3"/>
  <c r="E15" i="4"/>
  <c r="Q8" i="6"/>
  <c r="R8" i="6"/>
  <c r="S8" i="6"/>
  <c r="T8" i="6"/>
  <c r="U8" i="6"/>
  <c r="Q9" i="6"/>
  <c r="R9" i="6"/>
  <c r="S9" i="6"/>
  <c r="T9" i="6"/>
  <c r="U9" i="6"/>
  <c r="Q10" i="6"/>
  <c r="R10" i="6"/>
  <c r="S10" i="6"/>
  <c r="T10" i="6"/>
  <c r="U10" i="6"/>
  <c r="N10" i="6"/>
  <c r="Q11" i="6"/>
  <c r="R11" i="6"/>
  <c r="S11" i="6"/>
  <c r="X11" i="6"/>
  <c r="T11" i="6"/>
  <c r="U11" i="6"/>
  <c r="Q12" i="6"/>
  <c r="R12" i="6"/>
  <c r="S12" i="6"/>
  <c r="W12" i="6"/>
  <c r="T12" i="6"/>
  <c r="U12" i="6"/>
  <c r="M13" i="6"/>
  <c r="N13" i="6"/>
  <c r="Q13" i="6"/>
  <c r="R13" i="6"/>
  <c r="S13" i="6"/>
  <c r="T13" i="6"/>
  <c r="U13" i="6"/>
  <c r="Y13" i="6"/>
  <c r="M14" i="6"/>
  <c r="N14" i="6"/>
  <c r="Q14" i="6"/>
  <c r="R14" i="6"/>
  <c r="S14" i="6"/>
  <c r="W14" i="6"/>
  <c r="T14" i="6"/>
  <c r="U14" i="6"/>
  <c r="Y14" i="6"/>
  <c r="M15" i="6"/>
  <c r="Q15" i="6"/>
  <c r="R15" i="6"/>
  <c r="S15" i="6"/>
  <c r="T15" i="6"/>
  <c r="U15" i="6"/>
  <c r="M16" i="6"/>
  <c r="N16" i="6"/>
  <c r="Q16" i="6"/>
  <c r="R16" i="6"/>
  <c r="S16" i="6"/>
  <c r="T16" i="6"/>
  <c r="U16" i="6"/>
  <c r="Y16" i="6"/>
  <c r="M17" i="6"/>
  <c r="N17" i="6"/>
  <c r="Q17" i="6"/>
  <c r="R17" i="6"/>
  <c r="S17" i="6"/>
  <c r="X17" i="6"/>
  <c r="T17" i="6"/>
  <c r="U17" i="6"/>
  <c r="Y17" i="6"/>
  <c r="M18" i="6"/>
  <c r="N18" i="6"/>
  <c r="Q18" i="6"/>
  <c r="R18" i="6"/>
  <c r="S18" i="6"/>
  <c r="T18" i="6"/>
  <c r="U18" i="6"/>
  <c r="Y18" i="6"/>
  <c r="M19" i="6"/>
  <c r="N19" i="6"/>
  <c r="Q19" i="6"/>
  <c r="R19" i="6"/>
  <c r="S19" i="6"/>
  <c r="T19" i="6"/>
  <c r="U19" i="6"/>
  <c r="Y19" i="6"/>
  <c r="M20" i="6"/>
  <c r="N20" i="6"/>
  <c r="Q20" i="6"/>
  <c r="R20" i="6"/>
  <c r="S20" i="6"/>
  <c r="T20" i="6"/>
  <c r="U20" i="6"/>
  <c r="Y20" i="6"/>
  <c r="M21" i="6"/>
  <c r="N21" i="6"/>
  <c r="Q21" i="6"/>
  <c r="R21" i="6"/>
  <c r="S21" i="6"/>
  <c r="T21" i="6"/>
  <c r="U21" i="6"/>
  <c r="Y21" i="6"/>
  <c r="M22" i="6"/>
  <c r="N22" i="6"/>
  <c r="Q22" i="6"/>
  <c r="R22" i="6"/>
  <c r="S22" i="6"/>
  <c r="T22" i="6"/>
  <c r="U22" i="6"/>
  <c r="Y22" i="6"/>
  <c r="M23" i="6"/>
  <c r="N23" i="6"/>
  <c r="Q23" i="6"/>
  <c r="R23" i="6"/>
  <c r="S23" i="6"/>
  <c r="W23" i="6"/>
  <c r="T23" i="6"/>
  <c r="U23" i="6"/>
  <c r="Y23" i="6"/>
  <c r="M24" i="6"/>
  <c r="N24" i="6"/>
  <c r="Q24" i="6"/>
  <c r="R24" i="6"/>
  <c r="S24" i="6"/>
  <c r="X24" i="6"/>
  <c r="T24" i="6"/>
  <c r="U24" i="6"/>
  <c r="Y24" i="6"/>
  <c r="M25" i="6"/>
  <c r="N25" i="6"/>
  <c r="Q25" i="6"/>
  <c r="R25" i="6"/>
  <c r="S25" i="6"/>
  <c r="X25" i="6"/>
  <c r="T25" i="6"/>
  <c r="U25" i="6"/>
  <c r="Y25" i="6"/>
  <c r="M26" i="6"/>
  <c r="N26" i="6"/>
  <c r="Q26" i="6"/>
  <c r="R26" i="6"/>
  <c r="S26" i="6"/>
  <c r="W26" i="6"/>
  <c r="T26" i="6"/>
  <c r="U26" i="6"/>
  <c r="Y26" i="6"/>
  <c r="M27" i="6"/>
  <c r="N27" i="6"/>
  <c r="Q27" i="6"/>
  <c r="R27" i="6"/>
  <c r="S27" i="6"/>
  <c r="T27" i="6"/>
  <c r="U27" i="6"/>
  <c r="Y27" i="6"/>
  <c r="M28" i="6"/>
  <c r="N28" i="6"/>
  <c r="Q28" i="6"/>
  <c r="R28" i="6"/>
  <c r="S28" i="6"/>
  <c r="T28" i="6"/>
  <c r="U28" i="6"/>
  <c r="Y28" i="6"/>
  <c r="M29" i="6"/>
  <c r="N29" i="6"/>
  <c r="Q29" i="6"/>
  <c r="R29" i="6"/>
  <c r="S29" i="6"/>
  <c r="T29" i="6"/>
  <c r="U29" i="6"/>
  <c r="Y29" i="6"/>
  <c r="M30" i="6"/>
  <c r="N30" i="6"/>
  <c r="Q30" i="6"/>
  <c r="R30" i="6"/>
  <c r="S30" i="6"/>
  <c r="W30" i="6"/>
  <c r="T30" i="6"/>
  <c r="U30" i="6"/>
  <c r="Y30" i="6"/>
  <c r="M31" i="6"/>
  <c r="N31" i="6"/>
  <c r="Q31" i="6"/>
  <c r="R31" i="6"/>
  <c r="S31" i="6"/>
  <c r="T31" i="6"/>
  <c r="U31" i="6"/>
  <c r="Y31" i="6"/>
  <c r="M32" i="6"/>
  <c r="N32" i="6"/>
  <c r="Q32" i="6"/>
  <c r="R32" i="6"/>
  <c r="S32" i="6"/>
  <c r="T32" i="6"/>
  <c r="U32" i="6"/>
  <c r="Y32" i="6"/>
  <c r="M33" i="6"/>
  <c r="N33" i="6"/>
  <c r="Q33" i="6"/>
  <c r="R33" i="6"/>
  <c r="S33" i="6"/>
  <c r="T33" i="6"/>
  <c r="U33" i="6"/>
  <c r="Y33" i="6"/>
  <c r="M34" i="6"/>
  <c r="N34" i="6"/>
  <c r="Q34" i="6"/>
  <c r="R34" i="6"/>
  <c r="S34" i="6"/>
  <c r="T34" i="6"/>
  <c r="U34" i="6"/>
  <c r="Y34" i="6"/>
  <c r="M35" i="6"/>
  <c r="N35" i="6"/>
  <c r="Q35" i="6"/>
  <c r="R35" i="6"/>
  <c r="S35" i="6"/>
  <c r="T35" i="6"/>
  <c r="U35" i="6"/>
  <c r="Y35" i="6"/>
  <c r="M36" i="6"/>
  <c r="N36" i="6"/>
  <c r="Q36" i="6"/>
  <c r="R36" i="6"/>
  <c r="S36" i="6"/>
  <c r="W36" i="6"/>
  <c r="T36" i="6"/>
  <c r="U36" i="6"/>
  <c r="Y36" i="6"/>
  <c r="M37" i="6"/>
  <c r="N37" i="6"/>
  <c r="Q37" i="6"/>
  <c r="R37" i="6"/>
  <c r="S37" i="6"/>
  <c r="T37" i="6"/>
  <c r="U37" i="6"/>
  <c r="Y37" i="6"/>
  <c r="M38" i="6"/>
  <c r="N38" i="6"/>
  <c r="Q38" i="6"/>
  <c r="R38" i="6"/>
  <c r="S38" i="6"/>
  <c r="T38" i="6"/>
  <c r="U38" i="6"/>
  <c r="Y38" i="6"/>
  <c r="M39" i="6"/>
  <c r="N39" i="6"/>
  <c r="Q39" i="6"/>
  <c r="R39" i="6"/>
  <c r="S39" i="6"/>
  <c r="T39" i="6"/>
  <c r="U39" i="6"/>
  <c r="Y39" i="6"/>
  <c r="M40" i="6"/>
  <c r="N40" i="6"/>
  <c r="Q40" i="6"/>
  <c r="R40" i="6"/>
  <c r="S40" i="6"/>
  <c r="W40" i="6"/>
  <c r="T40" i="6"/>
  <c r="U40" i="6"/>
  <c r="Y40" i="6"/>
  <c r="M41" i="6"/>
  <c r="N41" i="6"/>
  <c r="Q41" i="6"/>
  <c r="R41" i="6"/>
  <c r="S41" i="6"/>
  <c r="T41" i="6"/>
  <c r="U41" i="6"/>
  <c r="Y41" i="6"/>
  <c r="M42" i="6"/>
  <c r="N42" i="6"/>
  <c r="Q42" i="6"/>
  <c r="R42" i="6"/>
  <c r="S42" i="6"/>
  <c r="W42" i="6"/>
  <c r="T42" i="6"/>
  <c r="U42" i="6"/>
  <c r="Y42" i="6"/>
  <c r="M43" i="6"/>
  <c r="N43" i="6"/>
  <c r="Q43" i="6"/>
  <c r="R43" i="6"/>
  <c r="S43" i="6"/>
  <c r="W43" i="6"/>
  <c r="T43" i="6"/>
  <c r="U43" i="6"/>
  <c r="Y43" i="6"/>
  <c r="M44" i="6"/>
  <c r="N44" i="6"/>
  <c r="Q44" i="6"/>
  <c r="R44" i="6"/>
  <c r="S44" i="6"/>
  <c r="X44" i="6"/>
  <c r="T44" i="6"/>
  <c r="U44" i="6"/>
  <c r="Y44" i="6"/>
  <c r="M45" i="6"/>
  <c r="N45" i="6"/>
  <c r="Q45" i="6"/>
  <c r="R45" i="6"/>
  <c r="S45" i="6"/>
  <c r="X45" i="6"/>
  <c r="T45" i="6"/>
  <c r="U45" i="6"/>
  <c r="Y45" i="6"/>
  <c r="M46" i="6"/>
  <c r="N46" i="6"/>
  <c r="Q46" i="6"/>
  <c r="R46" i="6"/>
  <c r="S46" i="6"/>
  <c r="T46" i="6"/>
  <c r="U46" i="6"/>
  <c r="Y46" i="6"/>
  <c r="M47" i="6"/>
  <c r="Q47" i="6"/>
  <c r="R47" i="6"/>
  <c r="S47" i="6"/>
  <c r="W47" i="6"/>
  <c r="T47" i="6"/>
  <c r="U47" i="6"/>
  <c r="M48" i="6"/>
  <c r="N48" i="6"/>
  <c r="Q48" i="6"/>
  <c r="R48" i="6"/>
  <c r="S48" i="6"/>
  <c r="T48" i="6"/>
  <c r="U48" i="6"/>
  <c r="Y48" i="6"/>
  <c r="M49" i="6"/>
  <c r="N49" i="6"/>
  <c r="Q49" i="6"/>
  <c r="R49" i="6"/>
  <c r="S49" i="6"/>
  <c r="W49" i="6"/>
  <c r="T49" i="6"/>
  <c r="U49" i="6"/>
  <c r="Y49" i="6"/>
  <c r="M50" i="6"/>
  <c r="N50" i="6"/>
  <c r="Q50" i="6"/>
  <c r="R50" i="6"/>
  <c r="S50" i="6"/>
  <c r="T50" i="6"/>
  <c r="U50" i="6"/>
  <c r="Y50" i="6"/>
  <c r="N12" i="6"/>
  <c r="Y15" i="6"/>
  <c r="N15" i="6"/>
  <c r="N11" i="6"/>
  <c r="X26" i="6"/>
  <c r="X23" i="6"/>
  <c r="X14" i="6"/>
  <c r="X10" i="6"/>
  <c r="W10" i="6"/>
  <c r="X12" i="6"/>
  <c r="X43" i="6"/>
  <c r="V26" i="6"/>
  <c r="V12" i="6"/>
  <c r="X38" i="6"/>
  <c r="W38" i="6"/>
  <c r="W37" i="6"/>
  <c r="X37" i="6"/>
  <c r="V37" i="6"/>
  <c r="W32" i="6"/>
  <c r="X32" i="6"/>
  <c r="V23" i="6"/>
  <c r="V17" i="6"/>
  <c r="V15" i="6"/>
  <c r="V14" i="6"/>
  <c r="V32" i="6"/>
  <c r="X39" i="6"/>
  <c r="W39" i="6"/>
  <c r="W28" i="6"/>
  <c r="X28" i="6"/>
  <c r="X48" i="6"/>
  <c r="W48" i="6"/>
  <c r="W50" i="6"/>
  <c r="V50" i="6"/>
  <c r="X50" i="6"/>
  <c r="V41" i="6"/>
  <c r="W41" i="6"/>
  <c r="X41" i="6"/>
  <c r="X19" i="6"/>
  <c r="W19" i="6"/>
  <c r="X21" i="6"/>
  <c r="W21" i="6"/>
  <c r="V21" i="6"/>
  <c r="X36" i="6"/>
  <c r="W24" i="6"/>
  <c r="V30" i="6"/>
  <c r="V24" i="6"/>
  <c r="V11" i="6"/>
  <c r="V10" i="6"/>
  <c r="Y10" i="6"/>
  <c r="M10" i="6"/>
  <c r="V48" i="6"/>
  <c r="V39" i="6"/>
  <c r="V19" i="6"/>
  <c r="V13" i="6"/>
  <c r="W17" i="6"/>
  <c r="V45" i="6"/>
  <c r="W34" i="6"/>
  <c r="V34" i="6"/>
  <c r="X34" i="6"/>
  <c r="X16" i="6"/>
  <c r="W16" i="6"/>
  <c r="V18" i="6"/>
  <c r="X18" i="6"/>
  <c r="W18" i="6"/>
  <c r="W20" i="6"/>
  <c r="X20" i="6"/>
  <c r="X22" i="6"/>
  <c r="W22" i="6"/>
  <c r="V22" i="6"/>
  <c r="W9" i="6"/>
  <c r="X9" i="6"/>
  <c r="V42" i="6"/>
  <c r="X30" i="6"/>
  <c r="X40" i="6"/>
  <c r="X42" i="6"/>
  <c r="W11" i="6"/>
  <c r="W25" i="6"/>
  <c r="V49" i="6"/>
  <c r="V47" i="6"/>
  <c r="Y47" i="6"/>
  <c r="N47" i="6"/>
  <c r="V44" i="6"/>
  <c r="V38" i="6"/>
  <c r="V36" i="6"/>
  <c r="V28" i="6"/>
  <c r="V25" i="6"/>
  <c r="W44" i="6"/>
  <c r="V40" i="6"/>
  <c r="W8" i="6"/>
  <c r="X8" i="6"/>
  <c r="V8" i="6"/>
  <c r="Y8" i="6"/>
  <c r="N8" i="6"/>
  <c r="V46" i="6"/>
  <c r="W33" i="6"/>
  <c r="V33" i="6"/>
  <c r="X33" i="6"/>
  <c r="X46" i="6"/>
  <c r="W46" i="6"/>
  <c r="W35" i="6"/>
  <c r="X35" i="6"/>
  <c r="V35" i="6"/>
  <c r="W27" i="6"/>
  <c r="X27" i="6"/>
  <c r="V27" i="6"/>
  <c r="W29" i="6"/>
  <c r="V29" i="6"/>
  <c r="X29" i="6"/>
  <c r="X31" i="6"/>
  <c r="W31" i="6"/>
  <c r="V31" i="6"/>
  <c r="W15" i="6"/>
  <c r="X15" i="6"/>
  <c r="V16" i="6"/>
  <c r="V9" i="6"/>
  <c r="W45" i="6"/>
  <c r="X47" i="6"/>
  <c r="X49" i="6"/>
  <c r="V43" i="6"/>
  <c r="X13" i="6"/>
  <c r="W13" i="6"/>
  <c r="V20" i="6"/>
  <c r="Y12" i="6"/>
  <c r="M12" i="6"/>
  <c r="Y11" i="6"/>
  <c r="M11" i="6"/>
  <c r="Y9" i="6"/>
  <c r="M8" i="6"/>
  <c r="N9" i="6"/>
  <c r="M9" i="6"/>
  <c r="N51" i="6"/>
  <c r="M51" i="6"/>
  <c r="AB17" i="3"/>
  <c r="AB25" i="3"/>
  <c r="N52" i="6"/>
  <c r="AB27" i="3"/>
  <c r="E17" i="4"/>
  <c r="AB30" i="3"/>
  <c r="H17" i="4"/>
  <c r="AK27" i="3"/>
  <c r="E22" i="4"/>
  <c r="AD30" i="3"/>
  <c r="AB36" i="3"/>
  <c r="L26" i="26"/>
  <c r="AK34" i="3"/>
  <c r="L29" i="26"/>
  <c r="M29" i="26"/>
  <c r="L27" i="26"/>
  <c r="M27" i="26"/>
  <c r="L30" i="26"/>
  <c r="M30" i="26"/>
  <c r="M26" i="26"/>
  <c r="L28" i="26"/>
  <c r="M28" i="26"/>
  <c r="AK33" i="3"/>
  <c r="L24" i="26"/>
  <c r="M24" i="26"/>
  <c r="L25" i="26"/>
  <c r="M25" i="26"/>
  <c r="AK36" i="3"/>
  <c r="AB38" i="3"/>
  <c r="AK38" i="3"/>
  <c r="AD33" i="3"/>
  <c r="M66" i="26"/>
  <c r="Q14" i="26"/>
  <c r="L9" i="29"/>
  <c r="AB26" i="26"/>
  <c r="AB27" i="26"/>
  <c r="AB30" i="26"/>
  <c r="AD24" i="26"/>
  <c r="L66" i="26"/>
  <c r="AK31" i="3"/>
  <c r="P14" i="26"/>
  <c r="K9" i="29"/>
  <c r="AD25" i="26"/>
  <c r="AD26" i="26"/>
  <c r="AB28" i="26"/>
  <c r="AB25" i="26"/>
  <c r="AB29" i="26"/>
  <c r="AB24" i="26"/>
  <c r="AD41" i="3"/>
  <c r="O21" i="26"/>
  <c r="V20" i="26"/>
  <c r="AD27" i="26"/>
  <c r="AD28" i="26"/>
  <c r="AD29" i="26"/>
  <c r="AD30" i="26"/>
  <c r="D25" i="29"/>
  <c r="E12" i="29"/>
  <c r="B14" i="29"/>
  <c r="K14" i="29"/>
  <c r="F15" i="29"/>
  <c r="B13" i="29"/>
  <c r="K13" i="29"/>
  <c r="H16" i="29"/>
  <c r="F16" i="29"/>
  <c r="H58" i="29"/>
  <c r="I30" i="29"/>
  <c r="F58" i="29"/>
  <c r="E15" i="29"/>
  <c r="L14" i="29"/>
  <c r="G44" i="29"/>
  <c r="J24" i="29"/>
  <c r="J21" i="29"/>
  <c r="F40" i="29"/>
  <c r="A13" i="29"/>
  <c r="L57" i="29"/>
  <c r="F38" i="29"/>
  <c r="A31" i="29"/>
  <c r="I50" i="29"/>
  <c r="E32" i="29"/>
  <c r="B15" i="29"/>
  <c r="K15" i="29"/>
  <c r="D15" i="29"/>
  <c r="E16" i="29"/>
  <c r="E14" i="29"/>
  <c r="A14" i="29"/>
  <c r="E48" i="29"/>
  <c r="G18" i="29"/>
  <c r="G19" i="29"/>
  <c r="F17" i="29"/>
  <c r="A24" i="29"/>
  <c r="E17" i="29"/>
  <c r="D50" i="29"/>
  <c r="B26" i="29"/>
  <c r="K26" i="29"/>
  <c r="A16" i="29"/>
  <c r="L53" i="29"/>
  <c r="D13" i="29"/>
  <c r="I19" i="29"/>
  <c r="D19" i="29"/>
  <c r="F13" i="29"/>
  <c r="B16" i="29"/>
  <c r="K16" i="29"/>
  <c r="L59" i="29"/>
  <c r="H26" i="29"/>
  <c r="L42" i="29"/>
  <c r="I36" i="29"/>
  <c r="B42" i="29"/>
  <c r="K42" i="29"/>
  <c r="A46" i="29"/>
  <c r="E61" i="29"/>
  <c r="J38" i="29"/>
  <c r="H52" i="29"/>
  <c r="A53" i="29"/>
  <c r="I29" i="29"/>
  <c r="J29" i="29"/>
  <c r="A36" i="29"/>
  <c r="J39" i="29"/>
  <c r="G21" i="29"/>
  <c r="L46" i="29"/>
  <c r="B32" i="29"/>
  <c r="K32" i="29"/>
  <c r="B52" i="29"/>
  <c r="K52" i="29"/>
  <c r="E18" i="29"/>
  <c r="E52" i="29"/>
  <c r="B25" i="29"/>
  <c r="K25" i="29"/>
  <c r="D12" i="29"/>
  <c r="G12" i="29"/>
  <c r="B12" i="29"/>
  <c r="K12" i="29"/>
  <c r="J12" i="29"/>
  <c r="L17" i="29"/>
  <c r="I15" i="29"/>
  <c r="G15" i="29"/>
  <c r="A15" i="29"/>
  <c r="J15" i="29"/>
  <c r="H15" i="29"/>
  <c r="I14" i="29"/>
  <c r="J14" i="29"/>
  <c r="G14" i="29"/>
  <c r="F14" i="29"/>
  <c r="H14" i="29"/>
  <c r="L13" i="29"/>
  <c r="L16" i="29"/>
  <c r="F29" i="29"/>
  <c r="F46" i="29"/>
  <c r="I23" i="29"/>
  <c r="I17" i="29"/>
  <c r="B29" i="29"/>
  <c r="K29" i="29"/>
  <c r="J58" i="29"/>
  <c r="A25" i="29"/>
  <c r="A23" i="29"/>
  <c r="B51" i="29"/>
  <c r="K51" i="29"/>
  <c r="A38" i="29"/>
  <c r="A47" i="29"/>
  <c r="J46" i="29"/>
  <c r="I18" i="29"/>
  <c r="H45" i="29"/>
  <c r="J51" i="29"/>
  <c r="G24" i="29"/>
  <c r="F22" i="29"/>
  <c r="B50" i="29"/>
  <c r="K50" i="29"/>
  <c r="B46" i="29"/>
  <c r="K46" i="29"/>
  <c r="J54" i="29"/>
  <c r="A30" i="29"/>
  <c r="G58" i="29"/>
  <c r="E20" i="29"/>
  <c r="H33" i="29"/>
  <c r="D16" i="29"/>
  <c r="G17" i="29"/>
  <c r="J13" i="29"/>
  <c r="F42" i="29"/>
  <c r="J17" i="29"/>
  <c r="J16" i="29"/>
  <c r="H40" i="29"/>
  <c r="E50" i="29"/>
  <c r="H43" i="29"/>
  <c r="E38" i="29"/>
  <c r="L15" i="29"/>
  <c r="H19" i="29"/>
  <c r="E13" i="29"/>
  <c r="E39" i="29"/>
  <c r="G34" i="29"/>
  <c r="H51" i="29"/>
  <c r="L31" i="29"/>
  <c r="I26" i="29"/>
  <c r="H13" i="29"/>
  <c r="G13" i="29"/>
  <c r="I13" i="29"/>
  <c r="D45" i="29"/>
  <c r="B49" i="29"/>
  <c r="K49" i="29"/>
  <c r="G16" i="29"/>
  <c r="F12" i="29"/>
  <c r="L12" i="29"/>
  <c r="A12" i="29"/>
  <c r="I12" i="29"/>
  <c r="H12" i="29"/>
  <c r="F41" i="29"/>
  <c r="L24" i="29"/>
  <c r="E28" i="29"/>
  <c r="H20" i="29"/>
  <c r="H21" i="29"/>
  <c r="D31" i="29"/>
  <c r="L23" i="29"/>
  <c r="E42" i="29"/>
  <c r="H48" i="29"/>
  <c r="B47" i="29"/>
  <c r="K47" i="29"/>
  <c r="B20" i="29"/>
  <c r="K20" i="29"/>
  <c r="G33" i="29"/>
  <c r="L41" i="29"/>
  <c r="B44" i="29"/>
  <c r="K44" i="29"/>
  <c r="H60" i="29"/>
  <c r="A43" i="29"/>
  <c r="B30" i="29"/>
  <c r="K30" i="29"/>
  <c r="D30" i="29"/>
  <c r="G38" i="29"/>
  <c r="E57" i="29"/>
  <c r="F57" i="29"/>
  <c r="I45" i="29"/>
  <c r="L26" i="29"/>
  <c r="I25" i="29"/>
  <c r="B24" i="29"/>
  <c r="K24" i="29"/>
  <c r="E37" i="29"/>
  <c r="J57" i="29"/>
  <c r="B58" i="29"/>
  <c r="K58" i="29"/>
  <c r="G48" i="29"/>
  <c r="H34" i="29"/>
  <c r="G47" i="29"/>
  <c r="L52" i="29"/>
  <c r="E33" i="29"/>
  <c r="B55" i="29"/>
  <c r="K55" i="29"/>
  <c r="G28" i="29"/>
  <c r="B37" i="29"/>
  <c r="K37" i="29"/>
  <c r="B34" i="29"/>
  <c r="K34" i="29"/>
  <c r="A41" i="29"/>
  <c r="A39" i="29"/>
  <c r="F56" i="29"/>
  <c r="F61" i="29"/>
  <c r="B28" i="29"/>
  <c r="K28" i="29"/>
  <c r="A35" i="29"/>
  <c r="B38" i="29"/>
  <c r="K38" i="29"/>
  <c r="G20" i="29"/>
  <c r="B57" i="29"/>
  <c r="K57" i="29"/>
  <c r="J43" i="29"/>
  <c r="G26" i="29"/>
  <c r="A32" i="29"/>
  <c r="G27" i="29"/>
  <c r="E25" i="29"/>
  <c r="I44" i="29"/>
  <c r="F24" i="29"/>
  <c r="L39" i="29"/>
  <c r="B19" i="29"/>
  <c r="K19" i="29"/>
  <c r="I56" i="29"/>
  <c r="B41" i="29"/>
  <c r="K41" i="29"/>
  <c r="E51" i="29"/>
  <c r="D59" i="29"/>
  <c r="A59" i="29"/>
  <c r="A26" i="29"/>
  <c r="L21" i="29"/>
  <c r="A45" i="29"/>
  <c r="F18" i="29"/>
  <c r="J55" i="29"/>
  <c r="D33" i="29"/>
  <c r="H38" i="29"/>
  <c r="B36" i="29"/>
  <c r="K36" i="29"/>
  <c r="A29" i="29"/>
  <c r="E22" i="29"/>
  <c r="L33" i="29"/>
  <c r="F21" i="29"/>
  <c r="B56" i="29"/>
  <c r="K56" i="29"/>
  <c r="E21" i="29"/>
  <c r="A28" i="29"/>
  <c r="L29" i="29"/>
  <c r="D55" i="29"/>
  <c r="E53" i="29"/>
  <c r="D57" i="29"/>
  <c r="H46" i="29"/>
  <c r="G61" i="29"/>
  <c r="G43" i="29"/>
  <c r="A20" i="29"/>
  <c r="H29" i="29"/>
  <c r="H41" i="29"/>
  <c r="I22" i="29"/>
  <c r="E24" i="29"/>
  <c r="L44" i="29"/>
  <c r="H37" i="29"/>
  <c r="J31" i="29"/>
  <c r="F30" i="29"/>
  <c r="F60" i="29"/>
  <c r="L30" i="29"/>
  <c r="J20" i="29"/>
  <c r="A50" i="29"/>
  <c r="L61" i="29"/>
  <c r="D24" i="29"/>
  <c r="J47" i="29"/>
  <c r="J19" i="29"/>
  <c r="H24" i="29"/>
  <c r="F33" i="29"/>
  <c r="D26" i="29"/>
  <c r="E41" i="29"/>
  <c r="G22" i="29"/>
  <c r="E55" i="29"/>
  <c r="E45" i="29"/>
  <c r="D51" i="29"/>
  <c r="I53" i="29"/>
  <c r="I39" i="29"/>
  <c r="B45" i="29"/>
  <c r="K45" i="29"/>
  <c r="A56" i="29"/>
  <c r="D29" i="29"/>
  <c r="A57" i="29"/>
  <c r="L50" i="29"/>
  <c r="A55" i="29"/>
  <c r="B22" i="29"/>
  <c r="K22" i="29"/>
  <c r="I40" i="29"/>
  <c r="E49" i="29"/>
  <c r="A33" i="29"/>
  <c r="E47" i="29"/>
  <c r="D36" i="29"/>
  <c r="D23" i="29"/>
  <c r="I42" i="29"/>
  <c r="D48" i="29"/>
  <c r="D18" i="29"/>
  <c r="G23" i="29"/>
  <c r="D21" i="29"/>
  <c r="F44" i="29"/>
  <c r="H55" i="29"/>
  <c r="H32" i="29"/>
  <c r="F25" i="29"/>
  <c r="I46" i="29"/>
  <c r="G55" i="29"/>
  <c r="J41" i="29"/>
  <c r="A22" i="29"/>
  <c r="E35" i="29"/>
  <c r="D37" i="29"/>
  <c r="A40" i="29"/>
  <c r="H54" i="29"/>
  <c r="J32" i="29"/>
  <c r="B59" i="29"/>
  <c r="K59" i="29"/>
  <c r="E46" i="29"/>
  <c r="J26" i="29"/>
  <c r="J34" i="29"/>
  <c r="B21" i="29"/>
  <c r="K21" i="29"/>
  <c r="I49" i="29"/>
  <c r="G49" i="29"/>
  <c r="L22" i="29"/>
  <c r="A54" i="29"/>
  <c r="A49" i="29"/>
  <c r="F26" i="29"/>
  <c r="I60" i="29"/>
  <c r="D60" i="29"/>
  <c r="I59" i="29"/>
  <c r="H53" i="29"/>
  <c r="L36" i="29"/>
  <c r="A44" i="29"/>
  <c r="A51" i="29"/>
  <c r="H56" i="29"/>
  <c r="J44" i="29"/>
  <c r="E26" i="29"/>
  <c r="E31" i="29"/>
  <c r="J33" i="29"/>
  <c r="G51" i="29"/>
  <c r="I27" i="29"/>
  <c r="L56" i="29"/>
  <c r="L60" i="29"/>
  <c r="F34" i="29"/>
  <c r="B60" i="29"/>
  <c r="K60" i="29"/>
  <c r="I31" i="29"/>
  <c r="H23" i="29"/>
  <c r="F28" i="29"/>
  <c r="J56" i="29"/>
  <c r="J30" i="29"/>
  <c r="E30" i="29"/>
  <c r="E29" i="29"/>
  <c r="B18" i="29"/>
  <c r="K18" i="29"/>
  <c r="J49" i="29"/>
  <c r="I51" i="29"/>
  <c r="F36" i="29"/>
  <c r="H28" i="29"/>
  <c r="H31" i="29"/>
  <c r="I35" i="29"/>
  <c r="D22" i="29"/>
  <c r="H44" i="29"/>
  <c r="L45" i="29"/>
  <c r="D28" i="29"/>
  <c r="G45" i="29"/>
  <c r="D40" i="29"/>
  <c r="H36" i="29"/>
  <c r="G31" i="29"/>
  <c r="D27" i="29"/>
  <c r="F48" i="29"/>
  <c r="F54" i="29"/>
  <c r="F27" i="29"/>
  <c r="I48" i="29"/>
  <c r="D41" i="29"/>
  <c r="I43" i="29"/>
  <c r="B31" i="29"/>
  <c r="K31" i="29"/>
  <c r="A61" i="29"/>
  <c r="I33" i="29"/>
  <c r="I57" i="29"/>
  <c r="J52" i="29"/>
  <c r="A18" i="29"/>
  <c r="I37" i="29"/>
  <c r="G52" i="29"/>
  <c r="F20" i="29"/>
  <c r="G29" i="29"/>
  <c r="D42" i="29"/>
  <c r="G30" i="29"/>
  <c r="I32" i="29"/>
  <c r="L58" i="29"/>
  <c r="A37" i="29"/>
  <c r="E59" i="29"/>
  <c r="H18" i="29"/>
  <c r="H42" i="29"/>
  <c r="H22" i="29"/>
  <c r="D34" i="29"/>
  <c r="F52" i="29"/>
  <c r="D32" i="29"/>
  <c r="F49" i="29"/>
  <c r="H50" i="29"/>
  <c r="I20" i="29"/>
  <c r="D43" i="29"/>
  <c r="L19" i="29"/>
  <c r="H35" i="29"/>
  <c r="J35" i="29"/>
  <c r="E23" i="29"/>
  <c r="J36" i="29"/>
  <c r="L38" i="29"/>
  <c r="D20" i="29"/>
  <c r="L43" i="29"/>
  <c r="D38" i="29"/>
  <c r="B39" i="29"/>
  <c r="K39" i="29"/>
  <c r="J60" i="29"/>
  <c r="L34" i="29"/>
  <c r="D58" i="29"/>
  <c r="J53" i="29"/>
  <c r="A27" i="29"/>
  <c r="E60" i="29"/>
  <c r="J22" i="29"/>
  <c r="I58" i="29"/>
  <c r="F19" i="29"/>
  <c r="G35" i="29"/>
  <c r="F50" i="29"/>
  <c r="B43" i="29"/>
  <c r="K43" i="29"/>
  <c r="F43" i="29"/>
  <c r="I34" i="29"/>
  <c r="A34" i="29"/>
  <c r="J37" i="29"/>
  <c r="J59" i="29"/>
  <c r="H61" i="29"/>
  <c r="B33" i="29"/>
  <c r="K33" i="29"/>
  <c r="F31" i="29"/>
  <c r="A21" i="29"/>
  <c r="E58" i="29"/>
  <c r="G42" i="29"/>
  <c r="B40" i="29"/>
  <c r="K40" i="29"/>
  <c r="J61" i="29"/>
  <c r="J27" i="29"/>
  <c r="L25" i="29"/>
  <c r="J18" i="29"/>
  <c r="D61" i="29"/>
  <c r="F39" i="29"/>
  <c r="G25" i="29"/>
  <c r="H59" i="29"/>
  <c r="I52" i="29"/>
  <c r="J40" i="29"/>
  <c r="G50" i="29"/>
  <c r="I24" i="29"/>
  <c r="F59" i="29"/>
  <c r="E56" i="29"/>
  <c r="L51" i="29"/>
  <c r="I38" i="29"/>
  <c r="L35" i="29"/>
  <c r="J45" i="29"/>
  <c r="B53" i="29"/>
  <c r="K53" i="29"/>
  <c r="G46" i="29"/>
  <c r="B61" i="29"/>
  <c r="K61" i="29"/>
  <c r="L37" i="29"/>
  <c r="A48" i="29"/>
  <c r="D47" i="29"/>
  <c r="L18" i="29"/>
  <c r="H47" i="29"/>
  <c r="L49" i="29"/>
  <c r="G53" i="29"/>
  <c r="F55" i="29"/>
  <c r="E36" i="29"/>
  <c r="I61" i="29"/>
  <c r="E43" i="29"/>
  <c r="L54" i="29"/>
  <c r="F47" i="29"/>
  <c r="L27" i="29"/>
  <c r="G59" i="29"/>
  <c r="E19" i="29"/>
  <c r="I47" i="29"/>
  <c r="B27" i="29"/>
  <c r="K27" i="29"/>
  <c r="D49" i="29"/>
  <c r="G57" i="29"/>
  <c r="J28" i="29"/>
  <c r="J23" i="29"/>
  <c r="L48" i="29"/>
  <c r="D39" i="29"/>
  <c r="G41" i="29"/>
  <c r="G36" i="29"/>
  <c r="B48" i="29"/>
  <c r="K48" i="29"/>
  <c r="A52" i="29"/>
  <c r="E54" i="29"/>
  <c r="A60" i="29"/>
  <c r="I54" i="29"/>
  <c r="B23" i="29"/>
  <c r="K23" i="29"/>
  <c r="L32" i="29"/>
  <c r="J25" i="29"/>
  <c r="D17" i="29"/>
  <c r="H39" i="29"/>
  <c r="D54" i="29"/>
  <c r="G60" i="29"/>
  <c r="E44" i="29"/>
  <c r="L40" i="29"/>
  <c r="D44" i="29"/>
  <c r="F37" i="29"/>
  <c r="E34" i="29"/>
  <c r="H49" i="29"/>
  <c r="L20" i="29"/>
  <c r="D52" i="29"/>
  <c r="D56" i="29"/>
  <c r="A17" i="29"/>
  <c r="G32" i="29"/>
  <c r="G54" i="29"/>
  <c r="D46" i="29"/>
  <c r="I21" i="29"/>
  <c r="A42" i="29"/>
  <c r="B17" i="29"/>
  <c r="K17" i="29"/>
  <c r="B35" i="29"/>
  <c r="K35" i="29"/>
  <c r="J50" i="29"/>
  <c r="I41" i="29"/>
  <c r="F35" i="29"/>
  <c r="A19" i="29"/>
  <c r="G56" i="29"/>
  <c r="H57" i="29"/>
  <c r="D35" i="29"/>
  <c r="E40" i="29"/>
  <c r="B54" i="29"/>
  <c r="K54" i="29"/>
  <c r="F53" i="29"/>
  <c r="I55" i="29"/>
  <c r="J42" i="29"/>
  <c r="J48" i="29"/>
  <c r="F51" i="29"/>
  <c r="G40" i="29"/>
  <c r="A58" i="29"/>
  <c r="F45" i="29"/>
  <c r="E27" i="29"/>
  <c r="F32" i="29"/>
  <c r="F23" i="29"/>
  <c r="D14" i="29"/>
  <c r="H17" i="29"/>
  <c r="H27" i="29"/>
  <c r="L28" i="29"/>
  <c r="H25" i="29"/>
  <c r="H30" i="29"/>
  <c r="I16" i="29"/>
  <c r="I28" i="29"/>
  <c r="G37" i="29"/>
  <c r="D53" i="29"/>
  <c r="G39" i="29"/>
  <c r="L47" i="29"/>
  <c r="L55"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author>
  </authors>
  <commentList>
    <comment ref="E3" authorId="0" shapeId="0" xr:uid="{00000000-0006-0000-0400-000001000000}">
      <text>
        <r>
          <rPr>
            <b/>
            <sz val="9"/>
            <color indexed="81"/>
            <rFont val="Tahoma"/>
            <family val="2"/>
          </rPr>
          <t>FASTIGHETSBETECKNING
Börja alltid med kommun
Tex: Hudiksvall Finnflo 1:1</t>
        </r>
      </text>
    </comment>
    <comment ref="X4" authorId="0" shapeId="0" xr:uid="{00000000-0006-0000-0400-000002000000}">
      <text>
        <r>
          <rPr>
            <sz val="9"/>
            <color indexed="81"/>
            <rFont val="Tahoma"/>
            <family val="2"/>
          </rPr>
          <t xml:space="preserve">
</t>
        </r>
        <r>
          <rPr>
            <b/>
            <sz val="11"/>
            <color indexed="81"/>
            <rFont val="Tahoma"/>
            <family val="2"/>
          </rPr>
          <t xml:space="preserve">Bankkonto skrivs UTAN mellanslag och bindestreck
BG och PG skrivs UTAN mellanslag men MED bindestreck
Personkonto NORDEA
3300
(= clearingnr) skrivs alltid före personnr
</t>
        </r>
      </text>
    </comment>
    <comment ref="X7" authorId="0" shapeId="0" xr:uid="{00000000-0006-0000-0400-000003000000}">
      <text>
        <r>
          <rPr>
            <b/>
            <sz val="9"/>
            <color indexed="81"/>
            <rFont val="Tahoma"/>
            <family val="2"/>
          </rPr>
          <t>Ifylles vid betalningar till länder utanför EU och EES</t>
        </r>
        <r>
          <rPr>
            <sz val="9"/>
            <color indexed="81"/>
            <rFont val="Tahoma"/>
            <family val="2"/>
          </rPr>
          <t xml:space="preserve">
</t>
        </r>
      </text>
    </comment>
    <comment ref="E12" authorId="0" shapeId="0" xr:uid="{00000000-0006-0000-0400-000004000000}">
      <text>
        <r>
          <rPr>
            <b/>
            <sz val="9"/>
            <color indexed="81"/>
            <rFont val="Tahoma"/>
            <family val="2"/>
          </rPr>
          <t>PROJEKTNUMMER</t>
        </r>
        <r>
          <rPr>
            <sz val="9"/>
            <color indexed="81"/>
            <rFont val="Tahoma"/>
            <family val="2"/>
          </rPr>
          <t xml:space="preserve">
B</t>
        </r>
        <r>
          <rPr>
            <b/>
            <sz val="9"/>
            <color indexed="81"/>
            <rFont val="Tahoma"/>
            <family val="2"/>
          </rPr>
          <t>örja med SA, SU eller SMS följt av 5 alternativt 8 siffror</t>
        </r>
      </text>
    </comment>
    <comment ref="Y19" authorId="0" shapeId="0" xr:uid="{00000000-0006-0000-0400-000005000000}">
      <text>
        <r>
          <rPr>
            <b/>
            <sz val="9"/>
            <color indexed="81"/>
            <rFont val="Tahoma"/>
            <family val="2"/>
          </rPr>
          <t>Kabelgravsbredd.
Avrundas uppåt till närmast hel meter.
Sjökabel = 1 meter</t>
        </r>
        <r>
          <rPr>
            <sz val="9"/>
            <color indexed="81"/>
            <rFont val="Tahoma"/>
            <family val="2"/>
          </rPr>
          <t xml:space="preserve">
</t>
        </r>
      </text>
    </comment>
    <comment ref="N26" authorId="0" shapeId="0" xr:uid="{00000000-0006-0000-0400-000006000000}">
      <text>
        <r>
          <rPr>
            <b/>
            <sz val="9"/>
            <color indexed="81"/>
            <rFont val="Tahoma"/>
            <family val="2"/>
          </rPr>
          <t>OBS</t>
        </r>
        <r>
          <rPr>
            <sz val="9"/>
            <color indexed="81"/>
            <rFont val="Tahoma"/>
            <family val="2"/>
          </rPr>
          <t xml:space="preserve">
Inget 25% påslag enligt ExpL görs på "Annat intrång".</t>
        </r>
      </text>
    </comment>
    <comment ref="X43" authorId="0" shapeId="0" xr:uid="{00000000-0006-0000-0400-000007000000}">
      <text>
        <r>
          <rPr>
            <b/>
            <sz val="9"/>
            <color indexed="81"/>
            <rFont val="Tahoma"/>
            <family val="2"/>
          </rPr>
          <t>DATUMFORM
ÅÅÅÅ-MM-DD</t>
        </r>
        <r>
          <rPr>
            <sz val="9"/>
            <color indexed="81"/>
            <rFont val="Tahoma"/>
            <family val="2"/>
          </rPr>
          <t xml:space="preserve">
</t>
        </r>
      </text>
    </comment>
  </commentList>
</comments>
</file>

<file path=xl/sharedStrings.xml><?xml version="1.0" encoding="utf-8"?>
<sst xmlns="http://schemas.openxmlformats.org/spreadsheetml/2006/main" count="3214" uniqueCount="2635">
  <si>
    <t>Sats</t>
  </si>
  <si>
    <t>Momspliktig försäljning 25 %</t>
  </si>
  <si>
    <t>Momspliktig försäljning 12 %</t>
  </si>
  <si>
    <t>Momspliktig försäljning 6 %</t>
  </si>
  <si>
    <t>Ing moms 25 % inom Sverige</t>
  </si>
  <si>
    <t>Ing moms 12 % inom Sverige</t>
  </si>
  <si>
    <t>Ing moms 6 % inom Sverige</t>
  </si>
  <si>
    <t>Inköp av varor från annat EG-land 25 %</t>
  </si>
  <si>
    <t>Inköp av varor från annat EG-land 12 %</t>
  </si>
  <si>
    <t>Inköp av varor från annat EG-land 6 %</t>
  </si>
  <si>
    <t>Inköp av tjänster från EG-land 25 %</t>
  </si>
  <si>
    <t>Inköp av tjänster från EG-land 12 %</t>
  </si>
  <si>
    <t>Inköp av tjänster från EG-land 6 %</t>
  </si>
  <si>
    <t>Inköp tjänst från land utanför EG 25 %</t>
  </si>
  <si>
    <t>Inköp tjänst från land utanför EG 12 %</t>
  </si>
  <si>
    <t>Inköp tjänst från land utanför EG 6 %</t>
  </si>
  <si>
    <t>Inköp varor omv skattskyld Sverige 25 %</t>
  </si>
  <si>
    <t>Inköp varor omv skattskyld Sverige 12 %</t>
  </si>
  <si>
    <t>Inköp varor omv skattskyld Sverige 6 %</t>
  </si>
  <si>
    <t>Inköp tjänst omv skattskyld Sverige 25 %</t>
  </si>
  <si>
    <t>Inköp tjänst omv skattskyld Sverige 12 %</t>
  </si>
  <si>
    <t>Inköp tjänst omv skattskyld Sverige 6 %</t>
  </si>
  <si>
    <t>Momspliktiga uttag 25 %</t>
  </si>
  <si>
    <t>Momspliktiga uttag 12 %</t>
  </si>
  <si>
    <t>Momspliktiga uttag 6 %</t>
  </si>
  <si>
    <t>Beskattningsunderlag vinstmargbesk 25 %</t>
  </si>
  <si>
    <t>Beskattningsunderlag vinstmargbesk 12 %</t>
  </si>
  <si>
    <t>Beskattningsunderlag vinstmargbesk 6 %</t>
  </si>
  <si>
    <t>Hyresinkomster frivillig skattskyld 25 %</t>
  </si>
  <si>
    <t>Försäljning varor till annat EG-land</t>
  </si>
  <si>
    <t>Försäljning varor utanför EG</t>
  </si>
  <si>
    <t>Mellanmans inköp av varor trepartshandel</t>
  </si>
  <si>
    <t>Mellanmans fsg av varor trepartshandel</t>
  </si>
  <si>
    <t>Försäljning tjänst köpare skattskyld EG</t>
  </si>
  <si>
    <t>Övr försäljn tjänst oms utom landet</t>
  </si>
  <si>
    <t>Försäljn köpare skattskyld i Sverige</t>
  </si>
  <si>
    <t>Momsfri fsg 0 % (Within VAT)</t>
  </si>
  <si>
    <t>Momspliktig försäljning 25 % konto</t>
  </si>
  <si>
    <t>Momspliktig försäljning 12 % konto</t>
  </si>
  <si>
    <t>Momspliktig försäljning 6 % konto</t>
  </si>
  <si>
    <t>Inköp varor från EG-land 25 % konto</t>
  </si>
  <si>
    <t>Inköp varor från EG-land 12 % konto</t>
  </si>
  <si>
    <t>Inköp varor från EG-land 6 % konto</t>
  </si>
  <si>
    <t>Inköp tjänster från EG-land 25 % konto</t>
  </si>
  <si>
    <t>Inköp tjänster från EG-land 12 % konto</t>
  </si>
  <si>
    <t>Inköp tjänster från EG-land 6 % konto</t>
  </si>
  <si>
    <t>Inköp tjänst utanför EG konto 25 % konto</t>
  </si>
  <si>
    <t>Inköp tjänst utanför EG 12 % konto</t>
  </si>
  <si>
    <t>Inköp tjänst utanför EG 6 % konto</t>
  </si>
  <si>
    <t>Inköp varor omv skattskyld S 25% konto</t>
  </si>
  <si>
    <t>Inköp varor omv skattskyld S 12% konto</t>
  </si>
  <si>
    <t>Inköp varor omv skattskyld S 6% konto</t>
  </si>
  <si>
    <t>Inköp tjänst omv skattskyl S 25% konto</t>
  </si>
  <si>
    <t>Inköp tjänst omv skattskyl S 12% konto</t>
  </si>
  <si>
    <t>Inköp tjänst omv skattskyl S 6% konto</t>
  </si>
  <si>
    <t>Momspliktiga uttag 25 % konto</t>
  </si>
  <si>
    <t>Momspliktiga uttag 12 % konto</t>
  </si>
  <si>
    <t>Momspliktiga uttag 6 % konto</t>
  </si>
  <si>
    <t>Beskattn underl vinstmargbesk 25 % konto</t>
  </si>
  <si>
    <t>Beskattn underl vinstmargbesk 12 % konto</t>
  </si>
  <si>
    <t>Beskattn underl vinstmargbesk 6 % konto</t>
  </si>
  <si>
    <t>Hyresinkom friv skattskyld 25 % konto</t>
  </si>
  <si>
    <t>Ingen moms vid import</t>
  </si>
  <si>
    <t>Beskattningsunderlag vid import, 25%</t>
  </si>
  <si>
    <t>Beskattningsunderlag vid import, 12%</t>
  </si>
  <si>
    <t>Beskattningsunderlag vid import, 6%</t>
  </si>
  <si>
    <t>Ingående moms 0%</t>
  </si>
  <si>
    <t>Momspliktig försäljning Förskott 25 %</t>
  </si>
  <si>
    <t>Försäljning ej moms (Out of scope of VAT)</t>
  </si>
  <si>
    <t>Ingående moms vid självfaktura</t>
  </si>
  <si>
    <t>KLISTRAS IN FRÅN VB</t>
  </si>
  <si>
    <t>Produktnr</t>
  </si>
  <si>
    <t>Benämning</t>
  </si>
  <si>
    <t>Moms- och bokf.grupp</t>
  </si>
  <si>
    <t>R1
Kostn ställe</t>
  </si>
  <si>
    <t>R2
Koncession</t>
  </si>
  <si>
    <t>R3
Subkonto</t>
  </si>
  <si>
    <t>R4
Inv spec</t>
  </si>
  <si>
    <t>R7
Projekt</t>
  </si>
  <si>
    <t>R8
Motpart</t>
  </si>
  <si>
    <t>Lista produkter</t>
  </si>
  <si>
    <t>T</t>
  </si>
  <si>
    <t>Text</t>
  </si>
  <si>
    <t>ej valbar - avser avtalsfakturering</t>
  </si>
  <si>
    <t>Arrende Fotocellen 10, Stockholm</t>
  </si>
  <si>
    <t>1001 [Arrende, momsfri]</t>
  </si>
  <si>
    <t>Arrende A Bredäng 2:1</t>
  </si>
  <si>
    <t>Arrende Fotocellen 10 - SN Högdalen</t>
  </si>
  <si>
    <t>Arrende Mårtendal 6 och Torsnäs 8</t>
  </si>
  <si>
    <t>Arrende Floden 1</t>
  </si>
  <si>
    <t>Arrende  mark i Bredäng</t>
  </si>
  <si>
    <t>Arrende Mårtendal 6 SN Skanstull</t>
  </si>
  <si>
    <t>Arrende Bredäng 1:2</t>
  </si>
  <si>
    <t>Arrende Akalla 5:3</t>
  </si>
  <si>
    <t>Arrende Rogaland 1</t>
  </si>
  <si>
    <t>Servitutupplåtelse Peruken 3 LS Ängby</t>
  </si>
  <si>
    <t>Arrende Fabrikören 2, FS Älvsjö</t>
  </si>
  <si>
    <t>Arrende Vallby (Mellösa - Vallby 3:26)</t>
  </si>
  <si>
    <t>Arrende Stockholm Bredäng 1:2 - SN Bredäng</t>
  </si>
  <si>
    <t>Arrende Örebro Längbro 2:6, Station Lindbacka</t>
  </si>
  <si>
    <t>Arrende Hästevik 2:435 Trfstn3</t>
  </si>
  <si>
    <t>Arrende Åsa  5:253</t>
  </si>
  <si>
    <t>SMS11763</t>
  </si>
  <si>
    <t>Nyttjanderätt Kinkhyttan 2:1</t>
  </si>
  <si>
    <t>1002 [Arrende, självfaktura]</t>
  </si>
  <si>
    <t>Upplåtelse av plats för utrustning för UMTS/GSM</t>
  </si>
  <si>
    <t>1010 [Upplåtelse av plats, 25% moms]</t>
  </si>
  <si>
    <t>Upplåtelse av plats i mast</t>
  </si>
  <si>
    <t>Nyttjanderätt utrymme i teknikbod Holmagärde</t>
  </si>
  <si>
    <t>SMS11761</t>
  </si>
  <si>
    <t>58 Produktionsgaranti</t>
  </si>
  <si>
    <t>Driftövervakning Laforsen</t>
  </si>
  <si>
    <t>1020 [Driftövervakning]</t>
  </si>
  <si>
    <t>INT031</t>
  </si>
  <si>
    <t>60 Förskott anslutningar lokalnät</t>
  </si>
  <si>
    <t>Diversefakturering</t>
  </si>
  <si>
    <t>Driftövervakning</t>
  </si>
  <si>
    <t>61 Flyttintäkter Stockholm Ström</t>
  </si>
  <si>
    <t>Administrationsersättning Laforsen</t>
  </si>
  <si>
    <t>1050 [Administrationsersättning]</t>
  </si>
  <si>
    <t>Hyra kontorsplats Karolinen Karlstad</t>
  </si>
  <si>
    <t>1180 [Övrig försäljning, 25% moms]</t>
  </si>
  <si>
    <t>Hyra Björns Trädgård 7- Fs Katarina</t>
  </si>
  <si>
    <t>1045 [Lokalhyra frivillig skattskyldighet 25%]</t>
  </si>
  <si>
    <t>Hyra kv Floden Beckomberga</t>
  </si>
  <si>
    <t>1040 [Lokalhyra, momsfri]</t>
  </si>
  <si>
    <t>Hyra Örebro Längbro 2:6, Station Lindbacka</t>
  </si>
  <si>
    <t>Nyttjanderätt optofiber</t>
  </si>
  <si>
    <t>1030 [Opto 25% moms]</t>
  </si>
  <si>
    <t>Nyttjanderätt svartfiber samt drift och underhåll</t>
  </si>
  <si>
    <t>Nyttjanderätt till fiberpar</t>
  </si>
  <si>
    <t>Upplåtelse av fiberförbindelse</t>
  </si>
  <si>
    <t>Samförläggning, 25% moms</t>
  </si>
  <si>
    <t>1060 [Samförläggning, 25% moms]</t>
  </si>
  <si>
    <t>Samförläggning, omvänd skattskyldighet</t>
  </si>
  <si>
    <t>1070 [Samförläggning, omvänd skattskyldighet]</t>
  </si>
  <si>
    <t>Drift och underhåll, 25% moms</t>
  </si>
  <si>
    <t>1100 [Drift och underhåll, 25% moms]</t>
  </si>
  <si>
    <t>Drift och underhåll, omvänd skattskyldighet</t>
  </si>
  <si>
    <t>1101 [Drift och underhåll, omvänd skattskyldighet]</t>
  </si>
  <si>
    <t>Anslutningar vindkraft</t>
  </si>
  <si>
    <t>1110 [Anslutningar vindkraft]</t>
  </si>
  <si>
    <t>Anslutningar regionnät</t>
  </si>
  <si>
    <t>1120 [Anslutningar regionnät]</t>
  </si>
  <si>
    <t>Anslutningar lokalnät</t>
  </si>
  <si>
    <t>1130 [Anslutningar lokalnät]</t>
  </si>
  <si>
    <t>Anslutningar temporära</t>
  </si>
  <si>
    <t>1140 [Anslutningar temporära]</t>
  </si>
  <si>
    <t>Servisändring, 25% moms</t>
  </si>
  <si>
    <t>1150 [Servisändring, 25% moms]</t>
  </si>
  <si>
    <t>Servisändring, omvänd skattskyldighet</t>
  </si>
  <si>
    <t>1160 [Servisändring, omvänd skattskyldighet]</t>
  </si>
  <si>
    <t>Flyttintäkter</t>
  </si>
  <si>
    <t>1170 [Flyttintäkter]</t>
  </si>
  <si>
    <t>Övrig försäljning, 25% moms</t>
  </si>
  <si>
    <t>Övrig försäljning, momsfri</t>
  </si>
  <si>
    <t>1190 [Övrig försäljning, momsfri]</t>
  </si>
  <si>
    <t xml:space="preserve">Självfaktura </t>
  </si>
  <si>
    <t>Köp av rotpost, 25% moms</t>
  </si>
  <si>
    <t>1200 [Köp av rotpost 25% moms]</t>
  </si>
  <si>
    <t>Självfaktura / Direktutbetalning</t>
  </si>
  <si>
    <t>Köp av rotpost, 0% moms</t>
  </si>
  <si>
    <t>1210 [Köp av rotpost 0% moms]</t>
  </si>
  <si>
    <t>Förtidig avverkning</t>
  </si>
  <si>
    <t>1220 [Förtidig avverkning]</t>
  </si>
  <si>
    <t>Fördyrad avverkning</t>
  </si>
  <si>
    <t>1240 [Fördyrad avverkning]</t>
  </si>
  <si>
    <t>Debitering åverkan</t>
  </si>
  <si>
    <t>1230 [Debitering åverkan]</t>
  </si>
  <si>
    <t>Självfaktura/Direktutbetalning</t>
  </si>
  <si>
    <t>Intrångsersättning</t>
  </si>
  <si>
    <t>1250 [Intrångsersättning]</t>
  </si>
  <si>
    <t>Frånkoppling extern lev.</t>
  </si>
  <si>
    <t>1300 [Frånkoppling extern leverantör]</t>
  </si>
  <si>
    <t>SMS12160</t>
  </si>
  <si>
    <t>Besöksavgift extern lev.</t>
  </si>
  <si>
    <t>1350 [Besöksavgift extern leverantör]</t>
  </si>
  <si>
    <t>Vidarefakturering 25% moms</t>
  </si>
  <si>
    <t>1400 [Vidarefakturering 25% moms]</t>
  </si>
  <si>
    <t>Vidarefakturering  byggtjänst 0% moms</t>
  </si>
  <si>
    <t>1450 [Vidarefakturering  byggtjänst 0% moms]</t>
  </si>
  <si>
    <t>Produktionsgaranti</t>
  </si>
  <si>
    <t>1460 [Produktionsgaranti]</t>
  </si>
  <si>
    <t>Ombesiktning</t>
  </si>
  <si>
    <t>Förskott anslutningar lokalnät</t>
  </si>
  <si>
    <t>1131 [Förskott anslutningar lokalnät]</t>
  </si>
  <si>
    <t>Flyttintäkter Stockholm Ström</t>
  </si>
  <si>
    <t>1171 [Flyttintäkter 0% moms]</t>
  </si>
  <si>
    <t>Särskild ersättning</t>
  </si>
  <si>
    <t>1251 [Särskild ersättning]</t>
  </si>
  <si>
    <t>Kantträd vid nybyg</t>
  </si>
  <si>
    <t>1252 [Kantträd vid nybyg]</t>
  </si>
  <si>
    <t>63 Kantträd vid nybyg</t>
  </si>
  <si>
    <t>Moms- och bokföringsuppl.</t>
  </si>
  <si>
    <t>Obligatoriska fält - ange "x"</t>
  </si>
  <si>
    <t>Kontosätt</t>
  </si>
  <si>
    <t>Momspl. förs</t>
  </si>
  <si>
    <t>Momspl. rabatt</t>
  </si>
  <si>
    <t>Momspl. tillägg</t>
  </si>
  <si>
    <t>Momsfri förs</t>
  </si>
  <si>
    <t>Momsfri rabatt</t>
  </si>
  <si>
    <t>Momsfritt tillägg</t>
  </si>
  <si>
    <t>EU förs.</t>
  </si>
  <si>
    <t>EU rabatt</t>
  </si>
  <si>
    <t>EU tillägg</t>
  </si>
  <si>
    <t>Export förs.</t>
  </si>
  <si>
    <t>Export rabatt</t>
  </si>
  <si>
    <t>Export tillägg</t>
  </si>
  <si>
    <t>Överstyr m-kod order</t>
  </si>
  <si>
    <t>Momskod förs.</t>
  </si>
  <si>
    <t>1 [Normal]</t>
  </si>
  <si>
    <t>x</t>
  </si>
  <si>
    <t>1011 [Upplåtelse av plats, frivillig skattskyldighet]</t>
  </si>
  <si>
    <t>1 (Normal)</t>
  </si>
  <si>
    <t>MANUAL</t>
  </si>
  <si>
    <r>
      <t>Fastighetsbeteckning</t>
    </r>
    <r>
      <rPr>
        <sz val="14"/>
        <rFont val="Calibri"/>
        <family val="2"/>
      </rPr>
      <t xml:space="preserve"> som fylls i, överförs automatiskt till:</t>
    </r>
  </si>
  <si>
    <t>”Er referens”  på flikarna ”Fakturaunderlag” och ”Inläsning utbetalning” samt till flikarna ”Åker” och ”Skog”.</t>
  </si>
  <si>
    <r>
      <t>Ägare</t>
    </r>
    <r>
      <rPr>
        <b/>
        <sz val="14"/>
        <rFont val="Calibri"/>
        <family val="2"/>
      </rPr>
      <t xml:space="preserve"> </t>
    </r>
    <r>
      <rPr>
        <sz val="14"/>
        <rFont val="Calibri"/>
        <family val="2"/>
      </rPr>
      <t>som fylls i, överförs automatiskt till :</t>
    </r>
  </si>
  <si>
    <t>”Kundnamn”  på flikarna ”Fakturaunderlag” och ”Inläsning utbetalning” samt efter  ”Del av ersättning som tillfaller:” och som namnförtydligande under ägarens namnteckning längst ned på ”Sammandraget”.</t>
  </si>
  <si>
    <r>
      <t>Adress, Postnummer och Postort</t>
    </r>
    <r>
      <rPr>
        <b/>
        <sz val="14"/>
        <rFont val="Calibri"/>
        <family val="2"/>
      </rPr>
      <t xml:space="preserve"> </t>
    </r>
    <r>
      <rPr>
        <sz val="14"/>
        <rFont val="Calibri"/>
        <family val="2"/>
      </rPr>
      <t>som fylls i, överförs automatiskt till :</t>
    </r>
  </si>
  <si>
    <t>motsvarande celler på flikarna ”Fakturaunderlag” och ”Inläsning utbetalning”</t>
  </si>
  <si>
    <r>
      <t>Giro eller bankkonto alt IBAN-nr</t>
    </r>
    <r>
      <rPr>
        <b/>
        <sz val="14"/>
        <rFont val="Calibri"/>
        <family val="2"/>
      </rPr>
      <t xml:space="preserve"> </t>
    </r>
    <r>
      <rPr>
        <sz val="14"/>
        <rFont val="Calibri"/>
        <family val="2"/>
      </rPr>
      <t xml:space="preserve">som fylls i, överförs automatiskt till </t>
    </r>
  </si>
  <si>
    <r>
      <t>Projektnummer</t>
    </r>
    <r>
      <rPr>
        <b/>
        <sz val="14"/>
        <rFont val="Calibri"/>
        <family val="2"/>
      </rPr>
      <t xml:space="preserve"> </t>
    </r>
    <r>
      <rPr>
        <sz val="14"/>
        <rFont val="Calibri"/>
        <family val="2"/>
      </rPr>
      <t>som fylls i, överförs automatiskt till:</t>
    </r>
  </si>
  <si>
    <t xml:space="preserve">”Vår referens”  på fliken ”Fakturaunderlag” </t>
  </si>
  <si>
    <t>samt till kolumn Projekt på  ”Inläsning utbetalning”</t>
  </si>
  <si>
    <r>
      <t>Koncessionsnummer</t>
    </r>
    <r>
      <rPr>
        <sz val="14"/>
        <rFont val="Calibri"/>
        <family val="2"/>
      </rPr>
      <t xml:space="preserve"> som fylls i, överförs automatiskt på flikarna ”Fakturaunderlag” och ”Inläsning utbetalning”, samt ger även automatiskt namnet på koncessionsområdet till höger på ”Sammandraget”. </t>
    </r>
  </si>
  <si>
    <r>
      <t>Namnet på ”</t>
    </r>
    <r>
      <rPr>
        <b/>
        <u/>
        <sz val="14"/>
        <rFont val="Calibri"/>
        <family val="2"/>
      </rPr>
      <t>Värderaren</t>
    </r>
    <r>
      <rPr>
        <b/>
        <sz val="14"/>
        <rFont val="Calibri"/>
        <family val="2"/>
      </rPr>
      <t xml:space="preserve">” </t>
    </r>
    <r>
      <rPr>
        <sz val="14"/>
        <rFont val="Calibri"/>
        <family val="2"/>
      </rPr>
      <t>kommer som namnförtydligande under värderarens namnteckning som ska skrivas längst ned på ”Sammandraget” samt som ""Handläggare" längst ned på "Fakturaunderlaget"</t>
    </r>
  </si>
  <si>
    <t>Enbart lågspänning</t>
  </si>
  <si>
    <t>Välj "Ja" eller "Nej" i rullistan,</t>
  </si>
  <si>
    <t xml:space="preserve"> beroende på om intrånget avser enbart lågspänning eller ej</t>
  </si>
  <si>
    <t>Stolpar i åkermark</t>
  </si>
  <si>
    <t>Värdet fås från flik ”Åker” per automatik och kan vara negativt förutsatt att kvittning gjorts mot borttaget hinder som värderats göra större intrång än nytt hinder.                                                                                                                                           Om ersättning för intrång på hela fastigheten visar sig vara ”negativ” kommer ändå VP räkna med minimiersättning. Det här framgår av ”Sammandraget”.</t>
  </si>
  <si>
    <r>
      <t>Manual för flik ”Åker</t>
    </r>
    <r>
      <rPr>
        <sz val="14"/>
        <rFont val="Calibri"/>
        <family val="2"/>
      </rPr>
      <t>”</t>
    </r>
  </si>
  <si>
    <t>Produktionsområde hämtas i rullistan.</t>
  </si>
  <si>
    <t>Iv hämtas från SCB:s hemsida, konsumentprisindex med basår 1980.</t>
  </si>
  <si>
    <t xml:space="preserve">Beskrivning av hindret samt L1, L2, L3 ifylles. (L1=hinderlängd, L2=hinderbredd, L3=avstånd från fältkant.)  </t>
  </si>
  <si>
    <t xml:space="preserve">Markslag anges som Å för åker, B för bete och I för impediment.  </t>
  </si>
  <si>
    <t>Intrång anges som B för bort och N för nytt, ersättningar beräknas automatiskt och fördelas på respektive kolumn.</t>
  </si>
  <si>
    <t>Ledningsgata i skogsmark</t>
  </si>
  <si>
    <t>Värdet fås automatiskt från fliken ”Skog” som i sin tur fylls i manuellt med de värden som erhållits vid värdering.</t>
  </si>
  <si>
    <t>KABEL I JORDBRUKSMARK och/eller SJÖKABEL</t>
  </si>
  <si>
    <t>Antal löpmeter fylls i, ersättningen beräknas automatiskt.</t>
  </si>
  <si>
    <t>Nätstation resp Kabelskåp</t>
  </si>
  <si>
    <t>Värdena fås automatiskt när antal fylls i på flik ”Nätstationer &amp; kabelskåp”.</t>
  </si>
  <si>
    <t>V  Ä  R  D  E  R  I  N  G  S  P  R  O  T  O  K  O  L  L</t>
  </si>
  <si>
    <t>Ellevio AB</t>
  </si>
  <si>
    <t>OBS! Glöm inte att komplettera med giro eller bankkonto alt IBAN-nr samt BIC adress när detta finns efter fastighetsägarens underskrift på Värderingsprotokollet. Utan komplettering fungerar inte den digitala processen för utbetalning.</t>
  </si>
  <si>
    <t>Fastighet:</t>
  </si>
  <si>
    <t>Giro eller bankkonto alt IBAN-nr:</t>
  </si>
  <si>
    <t>Kolumn1</t>
  </si>
  <si>
    <t>SCA m fl</t>
  </si>
  <si>
    <t>Nej</t>
  </si>
  <si>
    <t/>
  </si>
  <si>
    <t>Ägare:</t>
  </si>
  <si>
    <t>Ja</t>
  </si>
  <si>
    <t>Adress:</t>
  </si>
  <si>
    <t>BIC adress:</t>
  </si>
  <si>
    <t>Postnr och Ort:</t>
  </si>
  <si>
    <t>Ägarandel i %:</t>
  </si>
  <si>
    <t>Värderare :</t>
  </si>
  <si>
    <t>Ledning:</t>
  </si>
  <si>
    <t>Projektnr:</t>
  </si>
  <si>
    <t>Koncessionsnummer:</t>
  </si>
  <si>
    <t>Koncessionsområde</t>
  </si>
  <si>
    <t xml:space="preserve">SAMMANSTÄLLNING AV ERSÄTTNING PÅ FASTIGHETEN </t>
  </si>
  <si>
    <t xml:space="preserve">                                       NYTT INTRÅNG</t>
  </si>
  <si>
    <t>STOLPAR I ÅKERMARK</t>
  </si>
  <si>
    <t xml:space="preserve">LEDNINGSGATA I SKOGSMARK (luftledning och/eller jordkabel) </t>
  </si>
  <si>
    <t>Schakt-</t>
  </si>
  <si>
    <t>Längd m:</t>
  </si>
  <si>
    <t>bredd m:</t>
  </si>
  <si>
    <t>Endast lågspänning</t>
  </si>
  <si>
    <t>NÄTSTATION</t>
  </si>
  <si>
    <t>Antal:</t>
  </si>
  <si>
    <t>KABELSKÅP</t>
  </si>
  <si>
    <t>INTRÅNG I TOMTMARK</t>
  </si>
  <si>
    <t>25% Påslag enligt Expropriationslagen</t>
  </si>
  <si>
    <t>ANNAT INTRÅNG</t>
  </si>
  <si>
    <t>INTRÅNGSERSÄTTNING</t>
  </si>
  <si>
    <t>SÄRSKILD ERSÄTTNING VID  ÖVERENSKOMMELSE INKLUSIVE GRUNDERSÄTTNING</t>
  </si>
  <si>
    <t>ERSÄTTNING FÖR FÖRDYRAT TILLVARATAGANDE</t>
  </si>
  <si>
    <t>T  O  T  A  L     E  R  S  Ä  T  T  N  I  N  G   V I D   Ö V E R E N S K O M M E L S E</t>
  </si>
  <si>
    <t xml:space="preserve">Härmed medges att Ellevio får tillträde till det område inom fastigheten som berörs av de förändringar av eldistributionsnätet som framgår av detta värderingsprotokoll med karta. För att få tillträde till området medges vidare att Ellevio får ta väg över min fastighet fram till området.  </t>
  </si>
  <si>
    <t>Del av ersättning som tillfaller:</t>
  </si>
  <si>
    <t>Datum:</t>
  </si>
  <si>
    <t>Underskrift Fastighetsägare</t>
  </si>
  <si>
    <t xml:space="preserve">Underskrift Värderare </t>
  </si>
  <si>
    <t>Tele</t>
  </si>
  <si>
    <t>E-post</t>
  </si>
  <si>
    <t>I N T R Å N G  I  Å K E R M A R K</t>
  </si>
  <si>
    <t>Gns</t>
  </si>
  <si>
    <t>Gsk</t>
  </si>
  <si>
    <t>Iv ändras till KPI</t>
  </si>
  <si>
    <t>Ss</t>
  </si>
  <si>
    <t>vid värderingstillfället (basår 1980)</t>
  </si>
  <si>
    <t>Ersättn huvudregel</t>
  </si>
  <si>
    <t>Ersättnåker</t>
  </si>
  <si>
    <t>Bete</t>
  </si>
  <si>
    <t>Impediment</t>
  </si>
  <si>
    <t>Värde</t>
  </si>
  <si>
    <t>Produktionsomr:</t>
  </si>
  <si>
    <t>Ip =</t>
  </si>
  <si>
    <t>Iv=</t>
  </si>
  <si>
    <t>Tabdata</t>
  </si>
  <si>
    <t>Markslag</t>
  </si>
  <si>
    <t>Intrång</t>
  </si>
  <si>
    <t>Bort</t>
  </si>
  <si>
    <t>Nytt</t>
  </si>
  <si>
    <t>(Å/B/I)</t>
  </si>
  <si>
    <t>(B/N)</t>
  </si>
  <si>
    <t>Kronor</t>
  </si>
  <si>
    <t>L1=</t>
  </si>
  <si>
    <t>L2=</t>
  </si>
  <si>
    <t>L3=</t>
  </si>
  <si>
    <t>Summa kronor</t>
  </si>
  <si>
    <t>Summa nytt intrång minus summa borttaget intrång</t>
  </si>
  <si>
    <t>Exempel på värderingsprotokoll (Haglöfs)</t>
  </si>
  <si>
    <t>FASTIGHET:</t>
  </si>
  <si>
    <t>Fyll i värden från värdering gjord med 2009 (2018) års skogsnorm</t>
  </si>
  <si>
    <t>(Överförs automatiskt till Sammandraget)</t>
  </si>
  <si>
    <t>A</t>
  </si>
  <si>
    <t>Markvärde</t>
  </si>
  <si>
    <t>B</t>
  </si>
  <si>
    <t>Förtida avverkning</t>
  </si>
  <si>
    <t>C</t>
  </si>
  <si>
    <t>Kantträd (Träd utanför skogsgatan, intrångsersättning)</t>
  </si>
  <si>
    <t>D</t>
  </si>
  <si>
    <t>Framtida Storm och Tork</t>
  </si>
  <si>
    <t>Fördyrat tillvaratagande</t>
  </si>
  <si>
    <t>KONCESSIONSOMRÅDEN</t>
  </si>
  <si>
    <t xml:space="preserve">       INDATA</t>
  </si>
  <si>
    <t>Prisbasbelopp</t>
  </si>
  <si>
    <t>Koncessins nr</t>
  </si>
  <si>
    <t>Kostnadsställe</t>
  </si>
  <si>
    <t>Attestör</t>
  </si>
  <si>
    <t>Kundnamn</t>
  </si>
  <si>
    <t>SCA Skog</t>
  </si>
  <si>
    <t>RN Ljusnan (Laforsen Prod nät)</t>
  </si>
  <si>
    <t>Rickard Sundbaum</t>
  </si>
  <si>
    <t>Ewa Bengtsson</t>
  </si>
  <si>
    <t>HOLMEN Skog</t>
  </si>
  <si>
    <t>Prisbasbelopp kr:</t>
  </si>
  <si>
    <t>RN Värmland</t>
  </si>
  <si>
    <t>RN Kungsbacka</t>
  </si>
  <si>
    <t>Ersättn. kabel kr:</t>
  </si>
  <si>
    <t>RN Strömstad</t>
  </si>
  <si>
    <t>RN Arbrå</t>
  </si>
  <si>
    <t>Tätortstillägg</t>
  </si>
  <si>
    <t>RN Stockholm</t>
  </si>
  <si>
    <t>Kenneth Johansson</t>
  </si>
  <si>
    <t>RN Forsbacka</t>
  </si>
  <si>
    <t>RN Ljunga</t>
  </si>
  <si>
    <t>RN Dalarna</t>
  </si>
  <si>
    <t>Produktions Områden</t>
  </si>
  <si>
    <t>Grundersättning</t>
  </si>
  <si>
    <t>LN Bergslagen</t>
  </si>
  <si>
    <t>Lars-Göran Fagerlind</t>
  </si>
  <si>
    <t>Marktyp</t>
  </si>
  <si>
    <t>LN Mariestad</t>
  </si>
  <si>
    <t>Solpintrång</t>
  </si>
  <si>
    <t xml:space="preserve">20% av Prisbasbel. </t>
  </si>
  <si>
    <t>LN Nordvärmland</t>
  </si>
  <si>
    <t>LN Arvika</t>
  </si>
  <si>
    <t>Å</t>
  </si>
  <si>
    <t>20% av intrångsers</t>
  </si>
  <si>
    <t>LN Karlstad</t>
  </si>
  <si>
    <t>Ssk</t>
  </si>
  <si>
    <t>LN Hälsingland</t>
  </si>
  <si>
    <t>Eva Nordholm</t>
  </si>
  <si>
    <t>Nn</t>
  </si>
  <si>
    <t>I</t>
  </si>
  <si>
    <t>Kabel/m</t>
  </si>
  <si>
    <t>LN Hudiksvall</t>
  </si>
  <si>
    <t>Nö</t>
  </si>
  <si>
    <t>KPI  OKT 2018</t>
  </si>
  <si>
    <t>LN Kungsbacka, Göteborg</t>
  </si>
  <si>
    <t>Amanda Lundin</t>
  </si>
  <si>
    <t>Stolpe</t>
  </si>
  <si>
    <t>KPI  OKT 2019</t>
  </si>
  <si>
    <t>LN Orust/Tjörn</t>
  </si>
  <si>
    <t>ny alt</t>
  </si>
  <si>
    <t>KPI  OKT 2020</t>
  </si>
  <si>
    <t>LN Strömstad/Tanum</t>
  </si>
  <si>
    <t>Bredd kabelgrav</t>
  </si>
  <si>
    <t>borrt</t>
  </si>
  <si>
    <t>KPI  OKT 2021</t>
  </si>
  <si>
    <t>LN Munkedal</t>
  </si>
  <si>
    <t>LN Sotenäs</t>
  </si>
  <si>
    <t>N</t>
  </si>
  <si>
    <t>LN Tivedsenergi</t>
  </si>
  <si>
    <t>LN Ljusnarsberg</t>
  </si>
  <si>
    <t>Prisbasbelopp, forts</t>
  </si>
  <si>
    <t>LN Norra Vansbro</t>
  </si>
  <si>
    <t>2022  48 300 kr</t>
  </si>
  <si>
    <t>LN Stockholm</t>
  </si>
  <si>
    <t>Geo Axelsson</t>
  </si>
  <si>
    <t>Ranin Isaq</t>
  </si>
  <si>
    <t>LN Täby</t>
  </si>
  <si>
    <t>LN Lidingö</t>
  </si>
  <si>
    <t>LN Ockelbo</t>
  </si>
  <si>
    <t>LN Nor &amp; Segerstad</t>
  </si>
  <si>
    <t>LN Fredriksberg</t>
  </si>
  <si>
    <t>LN Ryssa</t>
  </si>
  <si>
    <t>LN Ekerö</t>
  </si>
  <si>
    <t>LN Nynäshamn</t>
  </si>
  <si>
    <t>LN Vallentuna</t>
  </si>
  <si>
    <t>LN Hamra</t>
  </si>
  <si>
    <t>FASTIGHET :</t>
  </si>
  <si>
    <t>Fyll i antal skåp och/eller nätstationer med beaktande av marktyp och storlek</t>
  </si>
  <si>
    <t>NÄTSTATIONER</t>
  </si>
  <si>
    <t>Antal</t>
  </si>
  <si>
    <t>Stations-område         6 x 6 m</t>
  </si>
  <si>
    <t>Stationsområde 8 x 8 m</t>
  </si>
  <si>
    <t>Stationsområde 10 x 10 m</t>
  </si>
  <si>
    <t>Skogsmark*</t>
  </si>
  <si>
    <t>Impediment i jordbruksmark</t>
  </si>
  <si>
    <t>Övrig mark utanför detaljplan**</t>
  </si>
  <si>
    <t>Antal kabelskåp</t>
  </si>
  <si>
    <t>Antal nätstationer</t>
  </si>
  <si>
    <t>Summa nätstationer</t>
  </si>
  <si>
    <r>
      <t>*</t>
    </r>
    <r>
      <rPr>
        <i/>
        <sz val="11"/>
        <color theme="1"/>
        <rFont val="Times New Roman"/>
        <family val="1"/>
      </rPr>
      <t>I skogsmark utgår ersättning för eventuellt fällda träd utöver ovan angivna belopp.</t>
    </r>
  </si>
  <si>
    <t>**Med övrig mark avses här mark som varken är skogsmark, jordbruksmark eller tomtmark, exempelvis restmark såsom markremsor i anslutning till jordbruksmark, vägar och tomtmark.</t>
  </si>
  <si>
    <t>OBS!</t>
  </si>
  <si>
    <t>Om nätstation(-er) placeras inom något av nedanstående område, fyll i antal även här.</t>
  </si>
  <si>
    <t>2022-01-01 Tillägg</t>
  </si>
  <si>
    <t>Område</t>
  </si>
  <si>
    <t xml:space="preserve">Stor-Göteborg </t>
  </si>
  <si>
    <t>Nätstation inom Göteborgs och Mölndals kommuner (såväl inom som utom detaljplan) samt Kungsbacka och Öckerö kommuner  (endast inom detaljplan)</t>
  </si>
  <si>
    <t>Stor-Stockholm</t>
  </si>
  <si>
    <t>Nätstation inom Lidingö och Danderyds kommuner (såväl inom som utom detaljplan) samt Täby, Sollentuna, Ekerö och Upplands-Bro kommuner (endast inom detaljplan)</t>
  </si>
  <si>
    <t>Fakturaunderlag</t>
  </si>
  <si>
    <t>Datum</t>
  </si>
  <si>
    <t>Fakturaunderlag skickas till: ellevio.receivables@azets.com</t>
  </si>
  <si>
    <t>BolagsID</t>
  </si>
  <si>
    <t>Bolag</t>
  </si>
  <si>
    <t>Kontaktperson fakturaunderlag</t>
  </si>
  <si>
    <t>Telefonnr</t>
  </si>
  <si>
    <t>Fakturatyp</t>
  </si>
  <si>
    <t>Värderingsprotokoll</t>
  </si>
  <si>
    <t xml:space="preserve">Underlag avseende debetfaktura skickas enbart i Excel. </t>
  </si>
  <si>
    <t>Vår referens (om annat än ovanstående)</t>
  </si>
  <si>
    <t xml:space="preserve">För övriga fakturatyper skall underlag skickas både i Excel </t>
  </si>
  <si>
    <t>och som pdf (signerad).</t>
  </si>
  <si>
    <t>Kundinformation</t>
  </si>
  <si>
    <t>Motpart</t>
  </si>
  <si>
    <t>Er referens/Ert ordernr (max 20 tecken)</t>
  </si>
  <si>
    <t>Epostadress kund</t>
  </si>
  <si>
    <t>Adress</t>
  </si>
  <si>
    <t>Bankkonto/giro</t>
  </si>
  <si>
    <t>Bet.villkor</t>
  </si>
  <si>
    <t>Påminnelseavgift</t>
  </si>
  <si>
    <t>Belopp exkl moms</t>
  </si>
  <si>
    <t>Belopp inkl moms</t>
  </si>
  <si>
    <t>Omgående</t>
  </si>
  <si>
    <t>Postnummer</t>
  </si>
  <si>
    <t>Postort</t>
  </si>
  <si>
    <t>Organisationsnummer</t>
  </si>
  <si>
    <t>Kravstopp</t>
  </si>
  <si>
    <t>Land (om ej Sverige)</t>
  </si>
  <si>
    <t>VAT nummer</t>
  </si>
  <si>
    <t>Fakturarader</t>
  </si>
  <si>
    <t>Fri kontering</t>
  </si>
  <si>
    <t>Denna kolumn kan döljas om det skulle önskas //Micke Ewing</t>
  </si>
  <si>
    <t>Produktnummer</t>
  </si>
  <si>
    <t>Beskrivning (max 47 tecken)</t>
  </si>
  <si>
    <t>Moms kod</t>
  </si>
  <si>
    <t>Pris per enhet</t>
  </si>
  <si>
    <t>Konto</t>
  </si>
  <si>
    <t>Villkor</t>
  </si>
  <si>
    <t>53 Intrångsersättning</t>
  </si>
  <si>
    <t>Markvärde, Framtida Storm o Tork</t>
  </si>
  <si>
    <t>50 Förtidig avverkning</t>
  </si>
  <si>
    <t>62 Särskild ersättning</t>
  </si>
  <si>
    <t>Kantträd vid nybyggnation</t>
  </si>
  <si>
    <t>51 Fördyrad avverkning</t>
  </si>
  <si>
    <t>Fördyrat tilllvaratagande</t>
  </si>
  <si>
    <t>Stolp i åkermark(del av), Jordkabel, Nätstationer, Kabelskåp,Tomtmark</t>
  </si>
  <si>
    <t>Övrig skada (Stolpar i åkermark del av).</t>
  </si>
  <si>
    <t>Handläggare</t>
  </si>
  <si>
    <t>Signeras</t>
  </si>
  <si>
    <t>Totalt belopp</t>
  </si>
  <si>
    <t>(av behörig attestant)</t>
  </si>
  <si>
    <t>Namnförtydligande</t>
  </si>
  <si>
    <t>Sökbegr</t>
  </si>
  <si>
    <t>Ersättn</t>
  </si>
  <si>
    <t>GSK</t>
  </si>
  <si>
    <t>GSK11</t>
  </si>
  <si>
    <t>GSK21</t>
  </si>
  <si>
    <t>GSK31</t>
  </si>
  <si>
    <t>GSK41</t>
  </si>
  <si>
    <t>GSK51</t>
  </si>
  <si>
    <t>GSK61</t>
  </si>
  <si>
    <t>GSK71</t>
  </si>
  <si>
    <t xml:space="preserve"> GSK81</t>
  </si>
  <si>
    <t>GSK91</t>
  </si>
  <si>
    <t>GSK101</t>
  </si>
  <si>
    <t>GSK111</t>
  </si>
  <si>
    <t>GSK121</t>
  </si>
  <si>
    <t>GSK131</t>
  </si>
  <si>
    <t>GSK141</t>
  </si>
  <si>
    <t>GSK151</t>
  </si>
  <si>
    <t>GSK161</t>
  </si>
  <si>
    <t>GSK171</t>
  </si>
  <si>
    <t>GSK181</t>
  </si>
  <si>
    <t>GSK191</t>
  </si>
  <si>
    <t>GSK201</t>
  </si>
  <si>
    <t>GSK22</t>
  </si>
  <si>
    <t>GSK32</t>
  </si>
  <si>
    <t>GSK42</t>
  </si>
  <si>
    <t>GSK52</t>
  </si>
  <si>
    <t>GSK62</t>
  </si>
  <si>
    <t>GSK72</t>
  </si>
  <si>
    <t>GSK82</t>
  </si>
  <si>
    <t>GSK9</t>
  </si>
  <si>
    <t>GSK102</t>
  </si>
  <si>
    <t>GSK112</t>
  </si>
  <si>
    <t>GSK122</t>
  </si>
  <si>
    <t>GSK132</t>
  </si>
  <si>
    <t>GSK142</t>
  </si>
  <si>
    <t>GSK152</t>
  </si>
  <si>
    <t>GSK162</t>
  </si>
  <si>
    <t>GSK172</t>
  </si>
  <si>
    <t>GSK182</t>
  </si>
  <si>
    <t>GSK192</t>
  </si>
  <si>
    <t>GSK202</t>
  </si>
  <si>
    <t>GSK33</t>
  </si>
  <si>
    <t>GSK43</t>
  </si>
  <si>
    <t>GSK53</t>
  </si>
  <si>
    <t>GSK63</t>
  </si>
  <si>
    <t>GSK73</t>
  </si>
  <si>
    <t>GSK83</t>
  </si>
  <si>
    <t>GSK93</t>
  </si>
  <si>
    <t>GSK103</t>
  </si>
  <si>
    <t>GSK113</t>
  </si>
  <si>
    <t>GSK123</t>
  </si>
  <si>
    <t>GSK133</t>
  </si>
  <si>
    <t>GSK143</t>
  </si>
  <si>
    <t>GSK153</t>
  </si>
  <si>
    <t>GSK163</t>
  </si>
  <si>
    <t>GSK173</t>
  </si>
  <si>
    <t>GSK183</t>
  </si>
  <si>
    <t>GSK193</t>
  </si>
  <si>
    <t>GSK203</t>
  </si>
  <si>
    <t>GSK44</t>
  </si>
  <si>
    <t>GSK54</t>
  </si>
  <si>
    <t>GSK64</t>
  </si>
  <si>
    <t>GSK74</t>
  </si>
  <si>
    <t>GSK84</t>
  </si>
  <si>
    <t>GSK94</t>
  </si>
  <si>
    <t>GSK104</t>
  </si>
  <si>
    <t>GSK114</t>
  </si>
  <si>
    <t>GSK124</t>
  </si>
  <si>
    <t>GSK134</t>
  </si>
  <si>
    <t>GSK144</t>
  </si>
  <si>
    <t>GSK154</t>
  </si>
  <si>
    <t>GSK164</t>
  </si>
  <si>
    <t>GSK174</t>
  </si>
  <si>
    <t>GSK184</t>
  </si>
  <si>
    <t>GSK194</t>
  </si>
  <si>
    <t>GSK204</t>
  </si>
  <si>
    <t>GSK55</t>
  </si>
  <si>
    <t>GSK65</t>
  </si>
  <si>
    <t xml:space="preserve"> GSK75</t>
  </si>
  <si>
    <t>GSK85</t>
  </si>
  <si>
    <t>GSK95</t>
  </si>
  <si>
    <t>GSK105</t>
  </si>
  <si>
    <t>GSK115</t>
  </si>
  <si>
    <t>GSK125</t>
  </si>
  <si>
    <t>GSK135</t>
  </si>
  <si>
    <t>GSK145</t>
  </si>
  <si>
    <t>GSK155</t>
  </si>
  <si>
    <t>GSK165</t>
  </si>
  <si>
    <t>GSK175</t>
  </si>
  <si>
    <t>GSK185</t>
  </si>
  <si>
    <t>GSK195</t>
  </si>
  <si>
    <t>GSK205</t>
  </si>
  <si>
    <t>GSK66</t>
  </si>
  <si>
    <t>GSK76</t>
  </si>
  <si>
    <t>GSK86</t>
  </si>
  <si>
    <t>GSK96</t>
  </si>
  <si>
    <t>GSK106</t>
  </si>
  <si>
    <t>GSK116</t>
  </si>
  <si>
    <t>GSK126</t>
  </si>
  <si>
    <t>GSK136</t>
  </si>
  <si>
    <t>GSK146</t>
  </si>
  <si>
    <t>GSK156</t>
  </si>
  <si>
    <t>GSK166</t>
  </si>
  <si>
    <t>GSK176</t>
  </si>
  <si>
    <t>GSK186</t>
  </si>
  <si>
    <t>GSK196</t>
  </si>
  <si>
    <t>GSK206</t>
  </si>
  <si>
    <t>GSK77</t>
  </si>
  <si>
    <t>GSK87</t>
  </si>
  <si>
    <t>GSK97</t>
  </si>
  <si>
    <t>GSK107</t>
  </si>
  <si>
    <t>GSK117</t>
  </si>
  <si>
    <t>GSK127</t>
  </si>
  <si>
    <t>GSK137</t>
  </si>
  <si>
    <t>GSK147</t>
  </si>
  <si>
    <t>GSK157</t>
  </si>
  <si>
    <t>GSK167</t>
  </si>
  <si>
    <t>GSK177</t>
  </si>
  <si>
    <t>GSK187</t>
  </si>
  <si>
    <t>GSK197</t>
  </si>
  <si>
    <t>GSK207</t>
  </si>
  <si>
    <t>GSK88</t>
  </si>
  <si>
    <t>GSK98</t>
  </si>
  <si>
    <t>GSK108</t>
  </si>
  <si>
    <t>GSK118</t>
  </si>
  <si>
    <t>GSK128</t>
  </si>
  <si>
    <t>GSK138</t>
  </si>
  <si>
    <t>GSK148</t>
  </si>
  <si>
    <t>GSK158</t>
  </si>
  <si>
    <t>GSK168</t>
  </si>
  <si>
    <t>GSK178</t>
  </si>
  <si>
    <t>GSK188</t>
  </si>
  <si>
    <t>GSK198</t>
  </si>
  <si>
    <t>GSK208</t>
  </si>
  <si>
    <t>GSK99</t>
  </si>
  <si>
    <t>GSK109</t>
  </si>
  <si>
    <t>GSK119</t>
  </si>
  <si>
    <t>GSK129</t>
  </si>
  <si>
    <t>GSK139</t>
  </si>
  <si>
    <t>GSK149</t>
  </si>
  <si>
    <t>GSK159</t>
  </si>
  <si>
    <t>GSK169</t>
  </si>
  <si>
    <t>GSK179</t>
  </si>
  <si>
    <t>GSK189</t>
  </si>
  <si>
    <t>GSK199</t>
  </si>
  <si>
    <t>GSK209</t>
  </si>
  <si>
    <t>GSK1010</t>
  </si>
  <si>
    <t>GSK1110</t>
  </si>
  <si>
    <t>GSK1210</t>
  </si>
  <si>
    <t>GSK1310</t>
  </si>
  <si>
    <t>GSK1410</t>
  </si>
  <si>
    <t>GSK1510</t>
  </si>
  <si>
    <t>GSK1610</t>
  </si>
  <si>
    <t>GSK1710</t>
  </si>
  <si>
    <t>GSK1810</t>
  </si>
  <si>
    <t>GSK1910</t>
  </si>
  <si>
    <t>GSK2010</t>
  </si>
  <si>
    <t>GNS</t>
  </si>
  <si>
    <t>GNS11</t>
  </si>
  <si>
    <t>GNS21</t>
  </si>
  <si>
    <t>GNS31</t>
  </si>
  <si>
    <t>GNS41</t>
  </si>
  <si>
    <t>GNS51</t>
  </si>
  <si>
    <t>GNS61</t>
  </si>
  <si>
    <t>GNS71</t>
  </si>
  <si>
    <t>GNS81</t>
  </si>
  <si>
    <t>GNS91</t>
  </si>
  <si>
    <t>GNS101</t>
  </si>
  <si>
    <t>GNS111</t>
  </si>
  <si>
    <t>GNS121</t>
  </si>
  <si>
    <t>GNS131</t>
  </si>
  <si>
    <t>GNS141</t>
  </si>
  <si>
    <t>GNS151</t>
  </si>
  <si>
    <t>GNS161</t>
  </si>
  <si>
    <t>GSN171</t>
  </si>
  <si>
    <t>GNS181</t>
  </si>
  <si>
    <t>GNS191</t>
  </si>
  <si>
    <t>GNS201</t>
  </si>
  <si>
    <t>GNS22</t>
  </si>
  <si>
    <t>GNS32</t>
  </si>
  <si>
    <t>GNS42</t>
  </si>
  <si>
    <t>GNS52</t>
  </si>
  <si>
    <t>GSN62</t>
  </si>
  <si>
    <t>GNS72</t>
  </si>
  <si>
    <t>GNS82</t>
  </si>
  <si>
    <t>GNS92</t>
  </si>
  <si>
    <t>GNS102</t>
  </si>
  <si>
    <t>GNS112</t>
  </si>
  <si>
    <t>GNS122</t>
  </si>
  <si>
    <t>GNS132</t>
  </si>
  <si>
    <t>GNS142</t>
  </si>
  <si>
    <t>GNS152</t>
  </si>
  <si>
    <t>GNS162</t>
  </si>
  <si>
    <t>GSN172</t>
  </si>
  <si>
    <t>GNS182</t>
  </si>
  <si>
    <t>GSN192</t>
  </si>
  <si>
    <t>GNS202</t>
  </si>
  <si>
    <t>GNS33</t>
  </si>
  <si>
    <t>GNS43</t>
  </si>
  <si>
    <t>GNS53</t>
  </si>
  <si>
    <t>GNS63</t>
  </si>
  <si>
    <t>GNS73</t>
  </si>
  <si>
    <t>GNS83</t>
  </si>
  <si>
    <t>GNS93</t>
  </si>
  <si>
    <t>GNS103</t>
  </si>
  <si>
    <t>GSN113</t>
  </si>
  <si>
    <t>GNS123</t>
  </si>
  <si>
    <t>GNS133</t>
  </si>
  <si>
    <t>GNS143</t>
  </si>
  <si>
    <t>GNS153</t>
  </si>
  <si>
    <t>GNS163</t>
  </si>
  <si>
    <t>GNS173</t>
  </si>
  <si>
    <t>GNS183</t>
  </si>
  <si>
    <t>GNS193</t>
  </si>
  <si>
    <t>GNS203</t>
  </si>
  <si>
    <t>GNS44</t>
  </si>
  <si>
    <t>GNS54</t>
  </si>
  <si>
    <t>GSN64</t>
  </si>
  <si>
    <t>GNS74</t>
  </si>
  <si>
    <t>GSN84</t>
  </si>
  <si>
    <t>GNS94</t>
  </si>
  <si>
    <t>GNS104</t>
  </si>
  <si>
    <t>GNS114</t>
  </si>
  <si>
    <t>GNS124</t>
  </si>
  <si>
    <t>GNS134</t>
  </si>
  <si>
    <t>GNS144</t>
  </si>
  <si>
    <t>GNS154</t>
  </si>
  <si>
    <t>GNS164</t>
  </si>
  <si>
    <t>GNS174</t>
  </si>
  <si>
    <t>GNS184</t>
  </si>
  <si>
    <t>GNS194</t>
  </si>
  <si>
    <t>GNS204</t>
  </si>
  <si>
    <t>GNS55</t>
  </si>
  <si>
    <t>GNS65</t>
  </si>
  <si>
    <t xml:space="preserve"> GNS75</t>
  </si>
  <si>
    <t>GNS85</t>
  </si>
  <si>
    <t>GNS95</t>
  </si>
  <si>
    <t>GNS105</t>
  </si>
  <si>
    <t>GNS115</t>
  </si>
  <si>
    <t>GNS125</t>
  </si>
  <si>
    <t>GNS135</t>
  </si>
  <si>
    <t>GNS145</t>
  </si>
  <si>
    <t>GNS155</t>
  </si>
  <si>
    <t>GNS165</t>
  </si>
  <si>
    <t>GNS175</t>
  </si>
  <si>
    <t>GNS185</t>
  </si>
  <si>
    <t>GNS195</t>
  </si>
  <si>
    <t>GNS205</t>
  </si>
  <si>
    <t>GNS66</t>
  </si>
  <si>
    <t>GNS76</t>
  </si>
  <si>
    <t>GNS86</t>
  </si>
  <si>
    <t>GNS96</t>
  </si>
  <si>
    <t>GNS106</t>
  </si>
  <si>
    <t>GNS116</t>
  </si>
  <si>
    <t>GNS126</t>
  </si>
  <si>
    <t>GNS136</t>
  </si>
  <si>
    <t>GNS146</t>
  </si>
  <si>
    <t>GNS156</t>
  </si>
  <si>
    <t>GNS166</t>
  </si>
  <si>
    <t>GNS176</t>
  </si>
  <si>
    <t>GNS186</t>
  </si>
  <si>
    <t>GNS196</t>
  </si>
  <si>
    <t>GNS206</t>
  </si>
  <si>
    <t>GNS77</t>
  </si>
  <si>
    <t>GNS87</t>
  </si>
  <si>
    <t>GNS97</t>
  </si>
  <si>
    <t>GNS107</t>
  </si>
  <si>
    <t>GNS117</t>
  </si>
  <si>
    <t>GNS127</t>
  </si>
  <si>
    <t>GNS137</t>
  </si>
  <si>
    <t>GNS147</t>
  </si>
  <si>
    <t>GNS157</t>
  </si>
  <si>
    <t>GNS167</t>
  </si>
  <si>
    <t>GNS177</t>
  </si>
  <si>
    <t>GNS187</t>
  </si>
  <si>
    <t>GNS197</t>
  </si>
  <si>
    <t>GNS207</t>
  </si>
  <si>
    <t>GNS88</t>
  </si>
  <si>
    <t>GNS98</t>
  </si>
  <si>
    <t>GNS108</t>
  </si>
  <si>
    <t>GNS118</t>
  </si>
  <si>
    <t>GNS128</t>
  </si>
  <si>
    <t>GNS138</t>
  </si>
  <si>
    <t>GNS148</t>
  </si>
  <si>
    <t>GNS158</t>
  </si>
  <si>
    <t>GNS168</t>
  </si>
  <si>
    <t>GNS178</t>
  </si>
  <si>
    <t>GNS188</t>
  </si>
  <si>
    <t>GNS198</t>
  </si>
  <si>
    <t>GNS208</t>
  </si>
  <si>
    <t>GNS99</t>
  </si>
  <si>
    <t>GNS109</t>
  </si>
  <si>
    <t>GNS119</t>
  </si>
  <si>
    <t>GNS129</t>
  </si>
  <si>
    <t>GNS139</t>
  </si>
  <si>
    <t>GNS149</t>
  </si>
  <si>
    <t>GNS159</t>
  </si>
  <si>
    <t>GNS169</t>
  </si>
  <si>
    <t>GNS179</t>
  </si>
  <si>
    <t>GNS189</t>
  </si>
  <si>
    <t>GNS199</t>
  </si>
  <si>
    <t>GNS209</t>
  </si>
  <si>
    <t>GNS1010</t>
  </si>
  <si>
    <t>GNS1110</t>
  </si>
  <si>
    <t>GNS1210</t>
  </si>
  <si>
    <t>GNS1310</t>
  </si>
  <si>
    <t>GNS1410</t>
  </si>
  <si>
    <t>GNS1510</t>
  </si>
  <si>
    <t>GNS1610</t>
  </si>
  <si>
    <t>GNS1710</t>
  </si>
  <si>
    <t>GNS1810</t>
  </si>
  <si>
    <t>GNS1910</t>
  </si>
  <si>
    <t>GNS2010</t>
  </si>
  <si>
    <t>SS</t>
  </si>
  <si>
    <t>SS11</t>
  </si>
  <si>
    <t>SS21</t>
  </si>
  <si>
    <t>SS31</t>
  </si>
  <si>
    <t>SS41</t>
  </si>
  <si>
    <t>SS51</t>
  </si>
  <si>
    <t>SS61</t>
  </si>
  <si>
    <t>SS71</t>
  </si>
  <si>
    <t>SS81</t>
  </si>
  <si>
    <t>SS91</t>
  </si>
  <si>
    <t>SS101</t>
  </si>
  <si>
    <t>SS111</t>
  </si>
  <si>
    <t>SS121</t>
  </si>
  <si>
    <t>SS131</t>
  </si>
  <si>
    <t>SS141</t>
  </si>
  <si>
    <t>SS151</t>
  </si>
  <si>
    <t>SS161</t>
  </si>
  <si>
    <t>SS171</t>
  </si>
  <si>
    <t>SS181</t>
  </si>
  <si>
    <t>SS191</t>
  </si>
  <si>
    <t>SS201</t>
  </si>
  <si>
    <t>SS22</t>
  </si>
  <si>
    <t>SS32</t>
  </si>
  <si>
    <t>SS42</t>
  </si>
  <si>
    <t>SS52</t>
  </si>
  <si>
    <t>SS62</t>
  </si>
  <si>
    <t>SS72</t>
  </si>
  <si>
    <t>SS82</t>
  </si>
  <si>
    <t>SS92</t>
  </si>
  <si>
    <t>SS102</t>
  </si>
  <si>
    <t>SS112</t>
  </si>
  <si>
    <t>SS122</t>
  </si>
  <si>
    <t>SS132</t>
  </si>
  <si>
    <t>SS142</t>
  </si>
  <si>
    <t>SS152</t>
  </si>
  <si>
    <t>SS162</t>
  </si>
  <si>
    <t>SS172</t>
  </si>
  <si>
    <t>SS182</t>
  </si>
  <si>
    <t>SS192</t>
  </si>
  <si>
    <t>SS202</t>
  </si>
  <si>
    <t>SS33</t>
  </si>
  <si>
    <t>SS43</t>
  </si>
  <si>
    <t>SS53</t>
  </si>
  <si>
    <t>SS63</t>
  </si>
  <si>
    <t>SS73</t>
  </si>
  <si>
    <t>SS83</t>
  </si>
  <si>
    <t>SS93</t>
  </si>
  <si>
    <t>SS103</t>
  </si>
  <si>
    <t>SS113</t>
  </si>
  <si>
    <t>SS123</t>
  </si>
  <si>
    <t>SS133</t>
  </si>
  <si>
    <t>SS143</t>
  </si>
  <si>
    <t>SS153</t>
  </si>
  <si>
    <t>SS163</t>
  </si>
  <si>
    <t>SS173</t>
  </si>
  <si>
    <t>SS183</t>
  </si>
  <si>
    <t>SS193</t>
  </si>
  <si>
    <t>SS203</t>
  </si>
  <si>
    <t>SS44</t>
  </si>
  <si>
    <t>SS54</t>
  </si>
  <si>
    <t>SS64</t>
  </si>
  <si>
    <t>SS74</t>
  </si>
  <si>
    <t>SS84</t>
  </si>
  <si>
    <t>SS94</t>
  </si>
  <si>
    <t>SS104</t>
  </si>
  <si>
    <t>SS114</t>
  </si>
  <si>
    <t>SS124</t>
  </si>
  <si>
    <t>SS134</t>
  </si>
  <si>
    <t>SS144</t>
  </si>
  <si>
    <t>SS154</t>
  </si>
  <si>
    <t>SS164</t>
  </si>
  <si>
    <t>SS174</t>
  </si>
  <si>
    <t>SS184</t>
  </si>
  <si>
    <t>SS194</t>
  </si>
  <si>
    <t>SS204</t>
  </si>
  <si>
    <t>SS55</t>
  </si>
  <si>
    <t>SS65</t>
  </si>
  <si>
    <t xml:space="preserve"> SS75</t>
  </si>
  <si>
    <t>SS85</t>
  </si>
  <si>
    <t>SS95</t>
  </si>
  <si>
    <t>SS105</t>
  </si>
  <si>
    <t>SS115</t>
  </si>
  <si>
    <t>SS125</t>
  </si>
  <si>
    <t>SS135</t>
  </si>
  <si>
    <t>SS145</t>
  </si>
  <si>
    <t>SS155</t>
  </si>
  <si>
    <t>SS165</t>
  </si>
  <si>
    <t>SS175</t>
  </si>
  <si>
    <t>SS185</t>
  </si>
  <si>
    <t>SS195</t>
  </si>
  <si>
    <t>SS205</t>
  </si>
  <si>
    <t>SS66</t>
  </si>
  <si>
    <t>SS76</t>
  </si>
  <si>
    <t>SS86</t>
  </si>
  <si>
    <t>SS96</t>
  </si>
  <si>
    <t>SS106</t>
  </si>
  <si>
    <t>SS116</t>
  </si>
  <si>
    <t>SS126</t>
  </si>
  <si>
    <t>SS136</t>
  </si>
  <si>
    <t>SS146</t>
  </si>
  <si>
    <t>SS156</t>
  </si>
  <si>
    <t>SS166</t>
  </si>
  <si>
    <t>SS176</t>
  </si>
  <si>
    <t>SS186</t>
  </si>
  <si>
    <t>SS196</t>
  </si>
  <si>
    <t>SS206</t>
  </si>
  <si>
    <t>SS77</t>
  </si>
  <si>
    <t>SS87</t>
  </si>
  <si>
    <t>SS97</t>
  </si>
  <si>
    <t>SS107</t>
  </si>
  <si>
    <t>SS117</t>
  </si>
  <si>
    <t>SS127</t>
  </si>
  <si>
    <t>SS137</t>
  </si>
  <si>
    <t>SS147</t>
  </si>
  <si>
    <t>SS157</t>
  </si>
  <si>
    <t>SS167</t>
  </si>
  <si>
    <t>SS177</t>
  </si>
  <si>
    <t>SS187</t>
  </si>
  <si>
    <t>SS197</t>
  </si>
  <si>
    <t>SS207</t>
  </si>
  <si>
    <t>SS88</t>
  </si>
  <si>
    <t>SS98</t>
  </si>
  <si>
    <t>SS108</t>
  </si>
  <si>
    <t>SS118</t>
  </si>
  <si>
    <t>SS128</t>
  </si>
  <si>
    <t>SS138</t>
  </si>
  <si>
    <t>SS148</t>
  </si>
  <si>
    <t>SS158</t>
  </si>
  <si>
    <t>SS168</t>
  </si>
  <si>
    <t>SS178</t>
  </si>
  <si>
    <t>SS188</t>
  </si>
  <si>
    <t>SS198</t>
  </si>
  <si>
    <t>SS208</t>
  </si>
  <si>
    <t>SS99</t>
  </si>
  <si>
    <t>SS109</t>
  </si>
  <si>
    <t>SS119</t>
  </si>
  <si>
    <t>SS129</t>
  </si>
  <si>
    <t>SS139</t>
  </si>
  <si>
    <t>SS149</t>
  </si>
  <si>
    <t>SS159</t>
  </si>
  <si>
    <t>SS169</t>
  </si>
  <si>
    <t>SS179</t>
  </si>
  <si>
    <t>SS189</t>
  </si>
  <si>
    <t>SS199</t>
  </si>
  <si>
    <t>SS209</t>
  </si>
  <si>
    <t>SS1010</t>
  </si>
  <si>
    <t>SS1110</t>
  </si>
  <si>
    <t>SS1210</t>
  </si>
  <si>
    <t>SS1310</t>
  </si>
  <si>
    <t>SS1410</t>
  </si>
  <si>
    <t>SS1510</t>
  </si>
  <si>
    <t>SS1610</t>
  </si>
  <si>
    <t>SS1710</t>
  </si>
  <si>
    <t>SS1810</t>
  </si>
  <si>
    <t>SS1910</t>
  </si>
  <si>
    <t>SS2010</t>
  </si>
  <si>
    <t>SSK</t>
  </si>
  <si>
    <t>SSK11</t>
  </si>
  <si>
    <t>SSK21</t>
  </si>
  <si>
    <t>SSK31</t>
  </si>
  <si>
    <t>SSK41</t>
  </si>
  <si>
    <t>SSK51</t>
  </si>
  <si>
    <t>SSK61</t>
  </si>
  <si>
    <t>SSK71</t>
  </si>
  <si>
    <t>SSK81</t>
  </si>
  <si>
    <t>SSK91</t>
  </si>
  <si>
    <t>SSK101</t>
  </si>
  <si>
    <t>SSK111</t>
  </si>
  <si>
    <t>SSK121</t>
  </si>
  <si>
    <t>SSK131</t>
  </si>
  <si>
    <t>SSK141</t>
  </si>
  <si>
    <t>SSK151</t>
  </si>
  <si>
    <t>SSK161</t>
  </si>
  <si>
    <t>SSK171</t>
  </si>
  <si>
    <t>SSK181</t>
  </si>
  <si>
    <t>SSK191</t>
  </si>
  <si>
    <t>SSK201</t>
  </si>
  <si>
    <t>SSK22</t>
  </si>
  <si>
    <t>SSK32</t>
  </si>
  <si>
    <t>SSK42</t>
  </si>
  <si>
    <t>SSK52</t>
  </si>
  <si>
    <t>SSK62</t>
  </si>
  <si>
    <t>SSK72</t>
  </si>
  <si>
    <t>SSK82</t>
  </si>
  <si>
    <t>SSK92</t>
  </si>
  <si>
    <t>SSK102</t>
  </si>
  <si>
    <t>SSK112</t>
  </si>
  <si>
    <t>SSK122</t>
  </si>
  <si>
    <t>SSK132</t>
  </si>
  <si>
    <t>SSK142</t>
  </si>
  <si>
    <t>SSK152</t>
  </si>
  <si>
    <t>SSK162</t>
  </si>
  <si>
    <t>SSK172</t>
  </si>
  <si>
    <t>SSK182</t>
  </si>
  <si>
    <t>SSK192</t>
  </si>
  <si>
    <t>SSK202</t>
  </si>
  <si>
    <t>SSK33</t>
  </si>
  <si>
    <t>SSK43</t>
  </si>
  <si>
    <t>SSK53</t>
  </si>
  <si>
    <t>SSK63</t>
  </si>
  <si>
    <t>SSK73</t>
  </si>
  <si>
    <t>SSK83</t>
  </si>
  <si>
    <t>SSK93</t>
  </si>
  <si>
    <t>SSK103</t>
  </si>
  <si>
    <t>SSK113</t>
  </si>
  <si>
    <t>SSK123</t>
  </si>
  <si>
    <t>SSK133</t>
  </si>
  <si>
    <t>SSK143</t>
  </si>
  <si>
    <t>SSK153</t>
  </si>
  <si>
    <t>SSK163</t>
  </si>
  <si>
    <t>SSK173</t>
  </si>
  <si>
    <t>SSK183</t>
  </si>
  <si>
    <t>SSK193</t>
  </si>
  <si>
    <t>SSK203</t>
  </si>
  <si>
    <t>SSK44</t>
  </si>
  <si>
    <t>SSK54</t>
  </si>
  <si>
    <t>SSK64</t>
  </si>
  <si>
    <t>SSK74</t>
  </si>
  <si>
    <t>SSK84</t>
  </si>
  <si>
    <t>SSK94</t>
  </si>
  <si>
    <t>SSK104</t>
  </si>
  <si>
    <t>SSK114</t>
  </si>
  <si>
    <t>SSK124</t>
  </si>
  <si>
    <t>SSK134</t>
  </si>
  <si>
    <t>SSK144</t>
  </si>
  <si>
    <t>SSK154</t>
  </si>
  <si>
    <t>SSK164</t>
  </si>
  <si>
    <t>SSK174</t>
  </si>
  <si>
    <t>SSK184</t>
  </si>
  <si>
    <t>SSK194</t>
  </si>
  <si>
    <t>SSK204</t>
  </si>
  <si>
    <t>SSK55</t>
  </si>
  <si>
    <t>SSK65</t>
  </si>
  <si>
    <t xml:space="preserve"> SSK75</t>
  </si>
  <si>
    <t>SSK85</t>
  </si>
  <si>
    <t>SSK95</t>
  </si>
  <si>
    <t>SSK105</t>
  </si>
  <si>
    <t>SSK115</t>
  </si>
  <si>
    <t>SSK125</t>
  </si>
  <si>
    <t>SSK135</t>
  </si>
  <si>
    <t>SSK145</t>
  </si>
  <si>
    <t>SSK155</t>
  </si>
  <si>
    <t>SSK165</t>
  </si>
  <si>
    <t>SSK175</t>
  </si>
  <si>
    <t>SSK185</t>
  </si>
  <si>
    <t>SSK195</t>
  </si>
  <si>
    <t>SSK205</t>
  </si>
  <si>
    <t>SSK66</t>
  </si>
  <si>
    <t>SSK76</t>
  </si>
  <si>
    <t>SSK86</t>
  </si>
  <si>
    <t>SSK96</t>
  </si>
  <si>
    <t>SSK106</t>
  </si>
  <si>
    <t>SSK116</t>
  </si>
  <si>
    <t>SSK126</t>
  </si>
  <si>
    <t>SSK136</t>
  </si>
  <si>
    <t>SSK146</t>
  </si>
  <si>
    <t>SSK156</t>
  </si>
  <si>
    <t>SSK166</t>
  </si>
  <si>
    <t>SSK176</t>
  </si>
  <si>
    <t>SSK186</t>
  </si>
  <si>
    <t>SSK196</t>
  </si>
  <si>
    <t>SSK206</t>
  </si>
  <si>
    <t>SSK77</t>
  </si>
  <si>
    <t>SSK87</t>
  </si>
  <si>
    <t>SSK97</t>
  </si>
  <si>
    <t>SSK107</t>
  </si>
  <si>
    <t>SSK117</t>
  </si>
  <si>
    <t>SSK127</t>
  </si>
  <si>
    <t>SSK137</t>
  </si>
  <si>
    <t>SSK147</t>
  </si>
  <si>
    <t>SSK157</t>
  </si>
  <si>
    <t>SSK167</t>
  </si>
  <si>
    <t>SSK177</t>
  </si>
  <si>
    <t>SSK187</t>
  </si>
  <si>
    <t>SSK197</t>
  </si>
  <si>
    <t>SSK207</t>
  </si>
  <si>
    <t>SSK88</t>
  </si>
  <si>
    <t>SSK98</t>
  </si>
  <si>
    <t>SSK108</t>
  </si>
  <si>
    <t>SSK118</t>
  </si>
  <si>
    <t>SSK128</t>
  </si>
  <si>
    <t>SSK138</t>
  </si>
  <si>
    <t>SSK148</t>
  </si>
  <si>
    <t>SSK158</t>
  </si>
  <si>
    <t>SSK168</t>
  </si>
  <si>
    <t>SSK178</t>
  </si>
  <si>
    <t>SSK188</t>
  </si>
  <si>
    <t>SSK198</t>
  </si>
  <si>
    <t>SSK208</t>
  </si>
  <si>
    <t>SSK99</t>
  </si>
  <si>
    <t>SSK109</t>
  </si>
  <si>
    <t>SSK119</t>
  </si>
  <si>
    <t>SSK129</t>
  </si>
  <si>
    <t>SSK139</t>
  </si>
  <si>
    <t>SSK149</t>
  </si>
  <si>
    <t>SSK159</t>
  </si>
  <si>
    <t>SSK169</t>
  </si>
  <si>
    <t>SSK179</t>
  </si>
  <si>
    <t>SSK189</t>
  </si>
  <si>
    <t>SSK199</t>
  </si>
  <si>
    <t>SSK209</t>
  </si>
  <si>
    <t>SSK1010</t>
  </si>
  <si>
    <t>SSK1110</t>
  </si>
  <si>
    <t>SSK1210</t>
  </si>
  <si>
    <t>SSK1310</t>
  </si>
  <si>
    <t>SSK1410</t>
  </si>
  <si>
    <t>SSK1510</t>
  </si>
  <si>
    <t>SSK1610</t>
  </si>
  <si>
    <t>SSK1710</t>
  </si>
  <si>
    <t>SSK1810</t>
  </si>
  <si>
    <t>SSK1910</t>
  </si>
  <si>
    <t>SSK2010</t>
  </si>
  <si>
    <t>SSK1111</t>
  </si>
  <si>
    <t>SSK1211</t>
  </si>
  <si>
    <t>SSK1311</t>
  </si>
  <si>
    <t>SSK1411</t>
  </si>
  <si>
    <t>SSK1511</t>
  </si>
  <si>
    <t>SSK1611</t>
  </si>
  <si>
    <t>SSK1711</t>
  </si>
  <si>
    <t>SSK1811</t>
  </si>
  <si>
    <t>SSK1911</t>
  </si>
  <si>
    <t>SSK2011</t>
  </si>
  <si>
    <t>SSK1212</t>
  </si>
  <si>
    <t>SSK1312</t>
  </si>
  <si>
    <t>SSK1412</t>
  </si>
  <si>
    <t>SSK1512</t>
  </si>
  <si>
    <t>SSK1612</t>
  </si>
  <si>
    <t>SSK1712</t>
  </si>
  <si>
    <t>SSK1812</t>
  </si>
  <si>
    <t>SSK1912</t>
  </si>
  <si>
    <t>SSK2012</t>
  </si>
  <si>
    <t>SSK1313</t>
  </si>
  <si>
    <t>SSK1413</t>
  </si>
  <si>
    <t>SSK1513</t>
  </si>
  <si>
    <t>SSK1613</t>
  </si>
  <si>
    <t>SSK1713</t>
  </si>
  <si>
    <t>SSK1813</t>
  </si>
  <si>
    <t>SSK1913</t>
  </si>
  <si>
    <t>SSK2013</t>
  </si>
  <si>
    <t>SSK1414</t>
  </si>
  <si>
    <t>SSK1514</t>
  </si>
  <si>
    <t>SSK1614</t>
  </si>
  <si>
    <t>SSK1714</t>
  </si>
  <si>
    <t>SSK1814</t>
  </si>
  <si>
    <t>SSK1914</t>
  </si>
  <si>
    <t>SSK2014</t>
  </si>
  <si>
    <t>SSK1515</t>
  </si>
  <si>
    <t>SSK1615</t>
  </si>
  <si>
    <t>SSK1715</t>
  </si>
  <si>
    <t>SSK1815</t>
  </si>
  <si>
    <t>SSK1915</t>
  </si>
  <si>
    <t>SSK2015</t>
  </si>
  <si>
    <t>SSK1616</t>
  </si>
  <si>
    <t>SSK1716</t>
  </si>
  <si>
    <t>SSK1816</t>
  </si>
  <si>
    <t>SSK1916</t>
  </si>
  <si>
    <t>SSK2016</t>
  </si>
  <si>
    <t>SSK1717</t>
  </si>
  <si>
    <t>SSK1817</t>
  </si>
  <si>
    <t>SSK1917</t>
  </si>
  <si>
    <t>SSK2017</t>
  </si>
  <si>
    <t>SSK1818</t>
  </si>
  <si>
    <t>SSK1918</t>
  </si>
  <si>
    <t>SSK2018</t>
  </si>
  <si>
    <t>SSK1919</t>
  </si>
  <si>
    <t>SSK2019</t>
  </si>
  <si>
    <t>SSK2020</t>
  </si>
  <si>
    <t>NN</t>
  </si>
  <si>
    <t>NN11</t>
  </si>
  <si>
    <t>NN21</t>
  </si>
  <si>
    <t>NN31</t>
  </si>
  <si>
    <t>NN41</t>
  </si>
  <si>
    <t>NN51</t>
  </si>
  <si>
    <t>NN61</t>
  </si>
  <si>
    <t>NN71</t>
  </si>
  <si>
    <t>NN81</t>
  </si>
  <si>
    <t>NN91</t>
  </si>
  <si>
    <t>NN101</t>
  </si>
  <si>
    <t>NN111</t>
  </si>
  <si>
    <t>NN121</t>
  </si>
  <si>
    <t>NN131</t>
  </si>
  <si>
    <t>NN141</t>
  </si>
  <si>
    <t>NN151</t>
  </si>
  <si>
    <t>NN161</t>
  </si>
  <si>
    <t>NN171</t>
  </si>
  <si>
    <t>NN181</t>
  </si>
  <si>
    <t>NN191</t>
  </si>
  <si>
    <t>NN201</t>
  </si>
  <si>
    <t>NN22</t>
  </si>
  <si>
    <t>NN32</t>
  </si>
  <si>
    <t>NN42</t>
  </si>
  <si>
    <t>NN52</t>
  </si>
  <si>
    <t>NN62</t>
  </si>
  <si>
    <t>NN72</t>
  </si>
  <si>
    <t>NN82</t>
  </si>
  <si>
    <t>NN92</t>
  </si>
  <si>
    <t>NN102</t>
  </si>
  <si>
    <t>NN112</t>
  </si>
  <si>
    <t>NN122</t>
  </si>
  <si>
    <t>NN132</t>
  </si>
  <si>
    <t>NN142</t>
  </si>
  <si>
    <t>NN152</t>
  </si>
  <si>
    <t>NN162</t>
  </si>
  <si>
    <t>NN172</t>
  </si>
  <si>
    <t>NN182</t>
  </si>
  <si>
    <t>NN192</t>
  </si>
  <si>
    <t>NN202</t>
  </si>
  <si>
    <t>NN33</t>
  </si>
  <si>
    <t>NN43</t>
  </si>
  <si>
    <t>NN53</t>
  </si>
  <si>
    <t>NN63</t>
  </si>
  <si>
    <t>NN73</t>
  </si>
  <si>
    <t>NN83</t>
  </si>
  <si>
    <t>NN93</t>
  </si>
  <si>
    <t>NN103</t>
  </si>
  <si>
    <t>NN113</t>
  </si>
  <si>
    <t>NN123</t>
  </si>
  <si>
    <t>NN133</t>
  </si>
  <si>
    <t>NN143</t>
  </si>
  <si>
    <t>NN153</t>
  </si>
  <si>
    <t>NN163</t>
  </si>
  <si>
    <t>NN173</t>
  </si>
  <si>
    <t>NN183</t>
  </si>
  <si>
    <t>NN193</t>
  </si>
  <si>
    <t>NN203</t>
  </si>
  <si>
    <t>NN44</t>
  </si>
  <si>
    <t>NN54</t>
  </si>
  <si>
    <t>NN64</t>
  </si>
  <si>
    <t>NN74</t>
  </si>
  <si>
    <t>NN84</t>
  </si>
  <si>
    <t>NN94</t>
  </si>
  <si>
    <t>NN104</t>
  </si>
  <si>
    <t>NN114</t>
  </si>
  <si>
    <t>NN124</t>
  </si>
  <si>
    <t>NN134</t>
  </si>
  <si>
    <t>NN144</t>
  </si>
  <si>
    <t>NN154</t>
  </si>
  <si>
    <t>NN164</t>
  </si>
  <si>
    <t>NN174</t>
  </si>
  <si>
    <t>NN184</t>
  </si>
  <si>
    <t>NN194</t>
  </si>
  <si>
    <t>NN204</t>
  </si>
  <si>
    <t>NN55</t>
  </si>
  <si>
    <t>NN65</t>
  </si>
  <si>
    <t xml:space="preserve"> NN75</t>
  </si>
  <si>
    <t>NN85</t>
  </si>
  <si>
    <t>NN95</t>
  </si>
  <si>
    <t>NN105</t>
  </si>
  <si>
    <t>NN115</t>
  </si>
  <si>
    <t>NN125</t>
  </si>
  <si>
    <t>NN135</t>
  </si>
  <si>
    <t>NN145</t>
  </si>
  <si>
    <t>NN155</t>
  </si>
  <si>
    <t>NN165</t>
  </si>
  <si>
    <t>NN175</t>
  </si>
  <si>
    <t>NN185</t>
  </si>
  <si>
    <t>NN195</t>
  </si>
  <si>
    <t>NN205</t>
  </si>
  <si>
    <t>NN66</t>
  </si>
  <si>
    <t>NN76</t>
  </si>
  <si>
    <t>NN86</t>
  </si>
  <si>
    <t>NN96</t>
  </si>
  <si>
    <t>NN106</t>
  </si>
  <si>
    <t>NN116</t>
  </si>
  <si>
    <t>NN126</t>
  </si>
  <si>
    <t>NN136</t>
  </si>
  <si>
    <t>NN146</t>
  </si>
  <si>
    <t>NN156</t>
  </si>
  <si>
    <t>NN166</t>
  </si>
  <si>
    <t>NN176</t>
  </si>
  <si>
    <t>NN186</t>
  </si>
  <si>
    <t>NN196</t>
  </si>
  <si>
    <t>NN206</t>
  </si>
  <si>
    <t>NN77</t>
  </si>
  <si>
    <t>NN87</t>
  </si>
  <si>
    <t>NN97</t>
  </si>
  <si>
    <t>NN107</t>
  </si>
  <si>
    <t>NN117</t>
  </si>
  <si>
    <t>NN127</t>
  </si>
  <si>
    <t>NN137</t>
  </si>
  <si>
    <t>NN147</t>
  </si>
  <si>
    <t>NN157</t>
  </si>
  <si>
    <t>NN167</t>
  </si>
  <si>
    <t>NN177</t>
  </si>
  <si>
    <t>NN187</t>
  </si>
  <si>
    <t>NN197</t>
  </si>
  <si>
    <t>NN207</t>
  </si>
  <si>
    <t>NÖ</t>
  </si>
  <si>
    <t>NÖ11</t>
  </si>
  <si>
    <t>NÖ21</t>
  </si>
  <si>
    <t>NÖ31</t>
  </si>
  <si>
    <t>NÖ41</t>
  </si>
  <si>
    <t>NÖ51</t>
  </si>
  <si>
    <t>NÖ61</t>
  </si>
  <si>
    <t>NÖ71</t>
  </si>
  <si>
    <t>NÖ81</t>
  </si>
  <si>
    <t>NÖ91</t>
  </si>
  <si>
    <t>NÖ101</t>
  </si>
  <si>
    <t>NÖ111</t>
  </si>
  <si>
    <t>NÖ121</t>
  </si>
  <si>
    <t>NÖ131</t>
  </si>
  <si>
    <t>NÖ141</t>
  </si>
  <si>
    <t>NÖ151</t>
  </si>
  <si>
    <t>NÖ161</t>
  </si>
  <si>
    <t>NÖ171</t>
  </si>
  <si>
    <t>NÖ181</t>
  </si>
  <si>
    <t>NÖ191</t>
  </si>
  <si>
    <t>NÖ201</t>
  </si>
  <si>
    <t>NÖ22</t>
  </si>
  <si>
    <t>NÖ32</t>
  </si>
  <si>
    <t>NÖ42</t>
  </si>
  <si>
    <t>NÖ52</t>
  </si>
  <si>
    <t>NÖ62</t>
  </si>
  <si>
    <t>NÖ72</t>
  </si>
  <si>
    <t>NÖ82</t>
  </si>
  <si>
    <t>NÖ92</t>
  </si>
  <si>
    <t>NÖ102</t>
  </si>
  <si>
    <t>NÖ112</t>
  </si>
  <si>
    <t>NÖ122</t>
  </si>
  <si>
    <t>NÖ132</t>
  </si>
  <si>
    <t>NÖ142</t>
  </si>
  <si>
    <t>NÖ152</t>
  </si>
  <si>
    <t>NÖ162</t>
  </si>
  <si>
    <t>NÖ172</t>
  </si>
  <si>
    <t>NÖ182</t>
  </si>
  <si>
    <t>NÖ192</t>
  </si>
  <si>
    <t>NÖ202</t>
  </si>
  <si>
    <t>NÖ33</t>
  </si>
  <si>
    <t>NÖ43</t>
  </si>
  <si>
    <t>NÖ53</t>
  </si>
  <si>
    <t>NÖ63</t>
  </si>
  <si>
    <t>NÖ73</t>
  </si>
  <si>
    <t>NÖ83</t>
  </si>
  <si>
    <t>NÖ93</t>
  </si>
  <si>
    <t>NÖ103</t>
  </si>
  <si>
    <t>NÖ113</t>
  </si>
  <si>
    <t>NÖ123</t>
  </si>
  <si>
    <t>NÖ133</t>
  </si>
  <si>
    <t>NÖ143</t>
  </si>
  <si>
    <t>NÖ153</t>
  </si>
  <si>
    <t>NÖ163</t>
  </si>
  <si>
    <t>NÖ173</t>
  </si>
  <si>
    <t>NÖ183</t>
  </si>
  <si>
    <t>NÖ193</t>
  </si>
  <si>
    <t>NÖ203</t>
  </si>
  <si>
    <t>NÖ44</t>
  </si>
  <si>
    <t>NÖ54</t>
  </si>
  <si>
    <t>NÖ64</t>
  </si>
  <si>
    <t>NÖ74</t>
  </si>
  <si>
    <t>NÖ84</t>
  </si>
  <si>
    <t>NÖ94</t>
  </si>
  <si>
    <t>NÖ104</t>
  </si>
  <si>
    <t>NÖ114</t>
  </si>
  <si>
    <t>NÖ124</t>
  </si>
  <si>
    <t>NÖ134</t>
  </si>
  <si>
    <t>NÖ144</t>
  </si>
  <si>
    <t>NÖ154</t>
  </si>
  <si>
    <t>NÖ164</t>
  </si>
  <si>
    <t>NÖ174</t>
  </si>
  <si>
    <t>NÖ184</t>
  </si>
  <si>
    <t>NÖ194</t>
  </si>
  <si>
    <t>NÖ204</t>
  </si>
  <si>
    <t>NÖ55</t>
  </si>
  <si>
    <t>NÖ65</t>
  </si>
  <si>
    <t xml:space="preserve"> NÖ75</t>
  </si>
  <si>
    <t>NÖ85</t>
  </si>
  <si>
    <t>NÖ95</t>
  </si>
  <si>
    <t>NÖ105</t>
  </si>
  <si>
    <t>NÖ115</t>
  </si>
  <si>
    <t>NÖ125</t>
  </si>
  <si>
    <t>NÖ135</t>
  </si>
  <si>
    <t>NÖ145</t>
  </si>
  <si>
    <t>NÖ155</t>
  </si>
  <si>
    <t>NÖ165</t>
  </si>
  <si>
    <t>NÖ175</t>
  </si>
  <si>
    <t>NÖ185</t>
  </si>
  <si>
    <t>NÖ195</t>
  </si>
  <si>
    <t>NÖ205</t>
  </si>
  <si>
    <t>NÖ66</t>
  </si>
  <si>
    <t>NÖ76</t>
  </si>
  <si>
    <t>NÖ86</t>
  </si>
  <si>
    <t>NÖ96</t>
  </si>
  <si>
    <t>NÖ106</t>
  </si>
  <si>
    <t>NÖ116</t>
  </si>
  <si>
    <t>NÖ126</t>
  </si>
  <si>
    <t>NÖ136</t>
  </si>
  <si>
    <t>NÖ146</t>
  </si>
  <si>
    <t>NÖ156</t>
  </si>
  <si>
    <t>NÖ166</t>
  </si>
  <si>
    <t>NÖ176</t>
  </si>
  <si>
    <t>NÖ186</t>
  </si>
  <si>
    <t>NÖ196</t>
  </si>
  <si>
    <t>NÖ206</t>
  </si>
  <si>
    <t>NÖ77</t>
  </si>
  <si>
    <t>NÖ87</t>
  </si>
  <si>
    <t>NÖ97</t>
  </si>
  <si>
    <t>NÖ107</t>
  </si>
  <si>
    <t>NÖ117</t>
  </si>
  <si>
    <t>NÖ127</t>
  </si>
  <si>
    <t>NÖ137</t>
  </si>
  <si>
    <t>NÖ147</t>
  </si>
  <si>
    <t>NÖ157</t>
  </si>
  <si>
    <t>NÖ167</t>
  </si>
  <si>
    <t>NÖ177</t>
  </si>
  <si>
    <t>NÖ187</t>
  </si>
  <si>
    <t>NÖ197</t>
  </si>
  <si>
    <t>NÖ207</t>
  </si>
  <si>
    <t>Proddata</t>
  </si>
  <si>
    <t>Procent</t>
  </si>
  <si>
    <t>Gns1</t>
  </si>
  <si>
    <t>Gns2</t>
  </si>
  <si>
    <t>Gns3</t>
  </si>
  <si>
    <t>Gns4</t>
  </si>
  <si>
    <t>Gns5</t>
  </si>
  <si>
    <t>Gns6</t>
  </si>
  <si>
    <t>Gns7</t>
  </si>
  <si>
    <t>Gns8</t>
  </si>
  <si>
    <t>Gns9</t>
  </si>
  <si>
    <t>Gns10</t>
  </si>
  <si>
    <t>Gns11</t>
  </si>
  <si>
    <t>Gns12</t>
  </si>
  <si>
    <t>Gns13</t>
  </si>
  <si>
    <t>Gns14</t>
  </si>
  <si>
    <t>Gns15</t>
  </si>
  <si>
    <t>Gns16</t>
  </si>
  <si>
    <t>Gns17</t>
  </si>
  <si>
    <t>Gns18</t>
  </si>
  <si>
    <t>Gns19</t>
  </si>
  <si>
    <t>Gns20</t>
  </si>
  <si>
    <t>Gns21</t>
  </si>
  <si>
    <t>Gns22</t>
  </si>
  <si>
    <t>Gns23</t>
  </si>
  <si>
    <t>Gns24</t>
  </si>
  <si>
    <t>Gns25</t>
  </si>
  <si>
    <t>Gns26</t>
  </si>
  <si>
    <t>Gns27</t>
  </si>
  <si>
    <t>Gns28</t>
  </si>
  <si>
    <t>Gns29</t>
  </si>
  <si>
    <t>Gns30</t>
  </si>
  <si>
    <t>Gns31</t>
  </si>
  <si>
    <t>Gns32</t>
  </si>
  <si>
    <t>Gns33</t>
  </si>
  <si>
    <t>Gns34</t>
  </si>
  <si>
    <t>Gns35</t>
  </si>
  <si>
    <t>Gns36</t>
  </si>
  <si>
    <t>Gns37</t>
  </si>
  <si>
    <t>Gns38</t>
  </si>
  <si>
    <t>Gns39</t>
  </si>
  <si>
    <t>Gns40</t>
  </si>
  <si>
    <t>Gns41</t>
  </si>
  <si>
    <t>Gns42</t>
  </si>
  <si>
    <t>Gns43</t>
  </si>
  <si>
    <t>Gns44</t>
  </si>
  <si>
    <t>Gns45</t>
  </si>
  <si>
    <t>Gns46</t>
  </si>
  <si>
    <t>Gns47</t>
  </si>
  <si>
    <t>Gns48</t>
  </si>
  <si>
    <t>Gns49</t>
  </si>
  <si>
    <t>Gns50</t>
  </si>
  <si>
    <t>Gns51</t>
  </si>
  <si>
    <t>Gns52</t>
  </si>
  <si>
    <t>Gns53</t>
  </si>
  <si>
    <t>Gns54</t>
  </si>
  <si>
    <t>Gns55</t>
  </si>
  <si>
    <t>Gns56</t>
  </si>
  <si>
    <t>Gns57</t>
  </si>
  <si>
    <t>Gns58</t>
  </si>
  <si>
    <t>Gns59</t>
  </si>
  <si>
    <t>Gns60</t>
  </si>
  <si>
    <t>Gns61</t>
  </si>
  <si>
    <t>Gns62</t>
  </si>
  <si>
    <t>Gns63</t>
  </si>
  <si>
    <t>Gns64</t>
  </si>
  <si>
    <t>Gns65</t>
  </si>
  <si>
    <t>Gns66</t>
  </si>
  <si>
    <t>Gns67</t>
  </si>
  <si>
    <t>Gns68</t>
  </si>
  <si>
    <t>Gns69</t>
  </si>
  <si>
    <t>Gns70</t>
  </si>
  <si>
    <t>Gns71</t>
  </si>
  <si>
    <t>Gns72</t>
  </si>
  <si>
    <t>Gns73</t>
  </si>
  <si>
    <t>Gns74</t>
  </si>
  <si>
    <t>Gns75</t>
  </si>
  <si>
    <t>Gns76</t>
  </si>
  <si>
    <t>Gns77</t>
  </si>
  <si>
    <t>Gns78</t>
  </si>
  <si>
    <t>Gns79</t>
  </si>
  <si>
    <t>Gns80</t>
  </si>
  <si>
    <t>Gns81</t>
  </si>
  <si>
    <t>Gns82</t>
  </si>
  <si>
    <t>Gns83</t>
  </si>
  <si>
    <t>Gns84</t>
  </si>
  <si>
    <t>Gns85</t>
  </si>
  <si>
    <t>Gns86</t>
  </si>
  <si>
    <t>Gns87</t>
  </si>
  <si>
    <t>Gns88</t>
  </si>
  <si>
    <t>Gns89</t>
  </si>
  <si>
    <t>Gns90</t>
  </si>
  <si>
    <t>Gns91</t>
  </si>
  <si>
    <t>Gns92</t>
  </si>
  <si>
    <t>Gns93</t>
  </si>
  <si>
    <t>Gns94</t>
  </si>
  <si>
    <t>Gns95</t>
  </si>
  <si>
    <t>Gns96</t>
  </si>
  <si>
    <t>Gns97</t>
  </si>
  <si>
    <t>Gns98</t>
  </si>
  <si>
    <t>Gns99</t>
  </si>
  <si>
    <t>Gns100</t>
  </si>
  <si>
    <t>Gns101</t>
  </si>
  <si>
    <t>Gns102</t>
  </si>
  <si>
    <t>Gns103</t>
  </si>
  <si>
    <t>Gns104</t>
  </si>
  <si>
    <t>Gns105</t>
  </si>
  <si>
    <t>Gns106</t>
  </si>
  <si>
    <t>Gns107</t>
  </si>
  <si>
    <t>Gns108</t>
  </si>
  <si>
    <t>Gns109</t>
  </si>
  <si>
    <t>Gns110</t>
  </si>
  <si>
    <t>Gns111</t>
  </si>
  <si>
    <t>Gns112</t>
  </si>
  <si>
    <t>Gns113</t>
  </si>
  <si>
    <t>Gns114</t>
  </si>
  <si>
    <t>Gns115</t>
  </si>
  <si>
    <t>Gns116</t>
  </si>
  <si>
    <t>Gns117</t>
  </si>
  <si>
    <t>Gns118</t>
  </si>
  <si>
    <t>Gns119</t>
  </si>
  <si>
    <t>Gns120</t>
  </si>
  <si>
    <t>Gns121</t>
  </si>
  <si>
    <t>Gns122</t>
  </si>
  <si>
    <t>Gns123</t>
  </si>
  <si>
    <t>Gns124</t>
  </si>
  <si>
    <t>Gns125</t>
  </si>
  <si>
    <t>Gns126</t>
  </si>
  <si>
    <t>Gns127</t>
  </si>
  <si>
    <t>Gns128</t>
  </si>
  <si>
    <t>Gns129</t>
  </si>
  <si>
    <t>Gns130</t>
  </si>
  <si>
    <t>Gns131</t>
  </si>
  <si>
    <t>Gns132</t>
  </si>
  <si>
    <t>Gns133</t>
  </si>
  <si>
    <t>Gns134</t>
  </si>
  <si>
    <t>Gns135</t>
  </si>
  <si>
    <t>Gns136</t>
  </si>
  <si>
    <t>Gns137</t>
  </si>
  <si>
    <t>Gns138</t>
  </si>
  <si>
    <t>Gns139</t>
  </si>
  <si>
    <t>Gns140</t>
  </si>
  <si>
    <t>Gns141</t>
  </si>
  <si>
    <t>Gns142</t>
  </si>
  <si>
    <t>Gns143</t>
  </si>
  <si>
    <t>Gns144</t>
  </si>
  <si>
    <t>Gns145</t>
  </si>
  <si>
    <t>Gns146</t>
  </si>
  <si>
    <t>Gns147</t>
  </si>
  <si>
    <t>Gns148</t>
  </si>
  <si>
    <t>Gns149</t>
  </si>
  <si>
    <t>Gns150</t>
  </si>
  <si>
    <t>Gns151</t>
  </si>
  <si>
    <t>Gns152</t>
  </si>
  <si>
    <t>Gns153</t>
  </si>
  <si>
    <t>Gns154</t>
  </si>
  <si>
    <t>Gns155</t>
  </si>
  <si>
    <t>Gns156</t>
  </si>
  <si>
    <t>Gns157</t>
  </si>
  <si>
    <t>Gns158</t>
  </si>
  <si>
    <t>Gns159</t>
  </si>
  <si>
    <t>Gns160</t>
  </si>
  <si>
    <t>Gns161</t>
  </si>
  <si>
    <t>Gns162</t>
  </si>
  <si>
    <t>Gns163</t>
  </si>
  <si>
    <t>Gns164</t>
  </si>
  <si>
    <t>Gns165</t>
  </si>
  <si>
    <t>Gns166</t>
  </si>
  <si>
    <t>Gns167</t>
  </si>
  <si>
    <t>Gns168</t>
  </si>
  <si>
    <t>Gns169</t>
  </si>
  <si>
    <t>Gns170</t>
  </si>
  <si>
    <t>Gns171</t>
  </si>
  <si>
    <t>Gns172</t>
  </si>
  <si>
    <t>Gns173</t>
  </si>
  <si>
    <t>Gns174</t>
  </si>
  <si>
    <t>Gns175</t>
  </si>
  <si>
    <t>Gns176</t>
  </si>
  <si>
    <t>Gns177</t>
  </si>
  <si>
    <t>Gns178</t>
  </si>
  <si>
    <t>Gns179</t>
  </si>
  <si>
    <t>Gns180</t>
  </si>
  <si>
    <t>Gns181</t>
  </si>
  <si>
    <t>Gns182</t>
  </si>
  <si>
    <t>Gns183</t>
  </si>
  <si>
    <t>Gns184</t>
  </si>
  <si>
    <t>Gns185</t>
  </si>
  <si>
    <t>Gns186</t>
  </si>
  <si>
    <t>Gns187</t>
  </si>
  <si>
    <t>Gns188</t>
  </si>
  <si>
    <t>Gns189</t>
  </si>
  <si>
    <t>Gns190</t>
  </si>
  <si>
    <t>Gns191</t>
  </si>
  <si>
    <t>Gns192</t>
  </si>
  <si>
    <t>Gns193</t>
  </si>
  <si>
    <t>Gns194</t>
  </si>
  <si>
    <t>Gns195</t>
  </si>
  <si>
    <t>Gns196</t>
  </si>
  <si>
    <t>Gns197</t>
  </si>
  <si>
    <t>Gns198</t>
  </si>
  <si>
    <t>Gns199</t>
  </si>
  <si>
    <t>Gns200</t>
  </si>
  <si>
    <t>Gsk1</t>
  </si>
  <si>
    <t>Gsk2</t>
  </si>
  <si>
    <t>Gsk3</t>
  </si>
  <si>
    <t>Gsk4</t>
  </si>
  <si>
    <t>Gsk5</t>
  </si>
  <si>
    <t>Gsk6</t>
  </si>
  <si>
    <t>Gsk7</t>
  </si>
  <si>
    <t>Gsk8</t>
  </si>
  <si>
    <t>Gsk9</t>
  </si>
  <si>
    <t>Gsk10</t>
  </si>
  <si>
    <t>Gsk11</t>
  </si>
  <si>
    <t>Gsk12</t>
  </si>
  <si>
    <t>Gsk13</t>
  </si>
  <si>
    <t>Gsk14</t>
  </si>
  <si>
    <t>Gsk15</t>
  </si>
  <si>
    <t>Gsk16</t>
  </si>
  <si>
    <t>Gsk17</t>
  </si>
  <si>
    <t>Gsk18</t>
  </si>
  <si>
    <t>Gsk19</t>
  </si>
  <si>
    <t>Gsk20</t>
  </si>
  <si>
    <t>Gsk21</t>
  </si>
  <si>
    <t>Gsk22</t>
  </si>
  <si>
    <t>Gsk23</t>
  </si>
  <si>
    <t>Gsk24</t>
  </si>
  <si>
    <t>Gsk25</t>
  </si>
  <si>
    <t>Gsk26</t>
  </si>
  <si>
    <t>Gsk27</t>
  </si>
  <si>
    <t>Gsk28</t>
  </si>
  <si>
    <t>Gsk29</t>
  </si>
  <si>
    <t>Gsk30</t>
  </si>
  <si>
    <t>Gsk31</t>
  </si>
  <si>
    <t>Gsk32</t>
  </si>
  <si>
    <t>Gsk33</t>
  </si>
  <si>
    <t>Gsk34</t>
  </si>
  <si>
    <t>Gsk35</t>
  </si>
  <si>
    <t>Gsk36</t>
  </si>
  <si>
    <t>Gsk37</t>
  </si>
  <si>
    <t>Gsk38</t>
  </si>
  <si>
    <t>Gsk39</t>
  </si>
  <si>
    <t>Gsk40</t>
  </si>
  <si>
    <t>Gsk41</t>
  </si>
  <si>
    <t>Gsk42</t>
  </si>
  <si>
    <t>Gsk43</t>
  </si>
  <si>
    <t>Gsk44</t>
  </si>
  <si>
    <t>Gsk45</t>
  </si>
  <si>
    <t>Gsk46</t>
  </si>
  <si>
    <t>Gsk47</t>
  </si>
  <si>
    <t>Gsk48</t>
  </si>
  <si>
    <t>Gsk49</t>
  </si>
  <si>
    <t>Gsk50</t>
  </si>
  <si>
    <t>Gsk51</t>
  </si>
  <si>
    <t>Gsk52</t>
  </si>
  <si>
    <t>Gsk53</t>
  </si>
  <si>
    <t>Gsk54</t>
  </si>
  <si>
    <t>Gsk55</t>
  </si>
  <si>
    <t>Gsk56</t>
  </si>
  <si>
    <t>Gsk57</t>
  </si>
  <si>
    <t>Gsk58</t>
  </si>
  <si>
    <t>Gsk59</t>
  </si>
  <si>
    <t>Gsk60</t>
  </si>
  <si>
    <t>Gsk61</t>
  </si>
  <si>
    <t>Gsk62</t>
  </si>
  <si>
    <t>Gsk63</t>
  </si>
  <si>
    <t>Gsk64</t>
  </si>
  <si>
    <t>Gsk65</t>
  </si>
  <si>
    <t>Gsk66</t>
  </si>
  <si>
    <t>Gsk67</t>
  </si>
  <si>
    <t>Gsk68</t>
  </si>
  <si>
    <t>Gsk69</t>
  </si>
  <si>
    <t>Gsk70</t>
  </si>
  <si>
    <t>Gsk71</t>
  </si>
  <si>
    <t>Gsk72</t>
  </si>
  <si>
    <t>Gsk73</t>
  </si>
  <si>
    <t>Gsk74</t>
  </si>
  <si>
    <t>Gsk75</t>
  </si>
  <si>
    <t>Gsk76</t>
  </si>
  <si>
    <t>Gsk77</t>
  </si>
  <si>
    <t>Gsk78</t>
  </si>
  <si>
    <t>Gsk79</t>
  </si>
  <si>
    <t>Gsk80</t>
  </si>
  <si>
    <t>Gsk81</t>
  </si>
  <si>
    <t>Gsk82</t>
  </si>
  <si>
    <t>Gsk83</t>
  </si>
  <si>
    <t>Gsk84</t>
  </si>
  <si>
    <t>Gsk85</t>
  </si>
  <si>
    <t>Gsk86</t>
  </si>
  <si>
    <t>Gsk87</t>
  </si>
  <si>
    <t>Gsk88</t>
  </si>
  <si>
    <t>Gsk89</t>
  </si>
  <si>
    <t>Gsk90</t>
  </si>
  <si>
    <t>Gsk91</t>
  </si>
  <si>
    <t>Gsk92</t>
  </si>
  <si>
    <t>Gsk93</t>
  </si>
  <si>
    <t>Gsk94</t>
  </si>
  <si>
    <t>Gsk95</t>
  </si>
  <si>
    <t>Gsk96</t>
  </si>
  <si>
    <t>Gsk97</t>
  </si>
  <si>
    <t>Gsk98</t>
  </si>
  <si>
    <t>Gsk99</t>
  </si>
  <si>
    <t>Gsk100</t>
  </si>
  <si>
    <t>Gsk101</t>
  </si>
  <si>
    <t>Gsk102</t>
  </si>
  <si>
    <t>Gsk103</t>
  </si>
  <si>
    <t>Gsk104</t>
  </si>
  <si>
    <t>Gsk105</t>
  </si>
  <si>
    <t>Gsk106</t>
  </si>
  <si>
    <t>Gsk107</t>
  </si>
  <si>
    <t>Gsk108</t>
  </si>
  <si>
    <t>Gsk109</t>
  </si>
  <si>
    <t>Gsk110</t>
  </si>
  <si>
    <t>Gsk111</t>
  </si>
  <si>
    <t>Gsk112</t>
  </si>
  <si>
    <t>Gsk113</t>
  </si>
  <si>
    <t>Gsk114</t>
  </si>
  <si>
    <t>Gsk115</t>
  </si>
  <si>
    <t>Gsk116</t>
  </si>
  <si>
    <t>Gsk117</t>
  </si>
  <si>
    <t>Gsk118</t>
  </si>
  <si>
    <t>Gsk119</t>
  </si>
  <si>
    <t>Gsk120</t>
  </si>
  <si>
    <t>Gsk121</t>
  </si>
  <si>
    <t>Gsk122</t>
  </si>
  <si>
    <t>Gsk123</t>
  </si>
  <si>
    <t>Gsk124</t>
  </si>
  <si>
    <t>Gsk125</t>
  </si>
  <si>
    <t>Gsk126</t>
  </si>
  <si>
    <t>Gsk127</t>
  </si>
  <si>
    <t>Gsk128</t>
  </si>
  <si>
    <t>Gsk129</t>
  </si>
  <si>
    <t>Gsk130</t>
  </si>
  <si>
    <t>Gsk131</t>
  </si>
  <si>
    <t>Gsk132</t>
  </si>
  <si>
    <t>Gsk133</t>
  </si>
  <si>
    <t>Gsk134</t>
  </si>
  <si>
    <t>Gsk135</t>
  </si>
  <si>
    <t>Gsk136</t>
  </si>
  <si>
    <t>Gsk137</t>
  </si>
  <si>
    <t>Gsk138</t>
  </si>
  <si>
    <t>Gsk139</t>
  </si>
  <si>
    <t>Gsk140</t>
  </si>
  <si>
    <t>Gsk141</t>
  </si>
  <si>
    <t>Gsk142</t>
  </si>
  <si>
    <t>Gsk143</t>
  </si>
  <si>
    <t>Gsk144</t>
  </si>
  <si>
    <t>Gsk145</t>
  </si>
  <si>
    <t>Gsk146</t>
  </si>
  <si>
    <t>Gsk147</t>
  </si>
  <si>
    <t>Gsk148</t>
  </si>
  <si>
    <t>Gsk149</t>
  </si>
  <si>
    <t>Gsk150</t>
  </si>
  <si>
    <t>Gsk151</t>
  </si>
  <si>
    <t>Gsk152</t>
  </si>
  <si>
    <t>Gsk153</t>
  </si>
  <si>
    <t>Gsk154</t>
  </si>
  <si>
    <t>Gsk155</t>
  </si>
  <si>
    <t>Gsk156</t>
  </si>
  <si>
    <t>Gsk157</t>
  </si>
  <si>
    <t>Gsk158</t>
  </si>
  <si>
    <t>Gsk159</t>
  </si>
  <si>
    <t>Gsk160</t>
  </si>
  <si>
    <t>Gsk161</t>
  </si>
  <si>
    <t>Gsk162</t>
  </si>
  <si>
    <t>Gsk163</t>
  </si>
  <si>
    <t>Gsk164</t>
  </si>
  <si>
    <t>Gsk165</t>
  </si>
  <si>
    <t>Gsk166</t>
  </si>
  <si>
    <t>Gsk167</t>
  </si>
  <si>
    <t>Gsk168</t>
  </si>
  <si>
    <t>Gsk169</t>
  </si>
  <si>
    <t>Gsk170</t>
  </si>
  <si>
    <t>Gsk171</t>
  </si>
  <si>
    <t>Gsk172</t>
  </si>
  <si>
    <t>Gsk173</t>
  </si>
  <si>
    <t>Gsk174</t>
  </si>
  <si>
    <t>Gsk175</t>
  </si>
  <si>
    <t>Gsk176</t>
  </si>
  <si>
    <t>Gsk177</t>
  </si>
  <si>
    <t>Gsk178</t>
  </si>
  <si>
    <t>Gsk179</t>
  </si>
  <si>
    <t>Gsk180</t>
  </si>
  <si>
    <t>Gsk181</t>
  </si>
  <si>
    <t>Gsk182</t>
  </si>
  <si>
    <t>Gsk183</t>
  </si>
  <si>
    <t>Gsk184</t>
  </si>
  <si>
    <t>Gsk185</t>
  </si>
  <si>
    <t>Gsk186</t>
  </si>
  <si>
    <t>Gsk187</t>
  </si>
  <si>
    <t>Gsk188</t>
  </si>
  <si>
    <t>Gsk189</t>
  </si>
  <si>
    <t>Gsk190</t>
  </si>
  <si>
    <t>Gsk191</t>
  </si>
  <si>
    <t>Gsk192</t>
  </si>
  <si>
    <t>Gsk193</t>
  </si>
  <si>
    <t>Gsk194</t>
  </si>
  <si>
    <t>Gsk195</t>
  </si>
  <si>
    <t>Gsk196</t>
  </si>
  <si>
    <t>Gsk197</t>
  </si>
  <si>
    <t>Gsk198</t>
  </si>
  <si>
    <t>Gsk199</t>
  </si>
  <si>
    <t>Gsk200</t>
  </si>
  <si>
    <t>Ss1</t>
  </si>
  <si>
    <t>Ss2</t>
  </si>
  <si>
    <t>Ss3</t>
  </si>
  <si>
    <t>Ss4</t>
  </si>
  <si>
    <t>Ss5</t>
  </si>
  <si>
    <t>Ss6</t>
  </si>
  <si>
    <t>Ss7</t>
  </si>
  <si>
    <t>Ss8</t>
  </si>
  <si>
    <t>Ss9</t>
  </si>
  <si>
    <t>Ss10</t>
  </si>
  <si>
    <t>Ss11</t>
  </si>
  <si>
    <t>Ss12</t>
  </si>
  <si>
    <t>Ss13</t>
  </si>
  <si>
    <t>Ss14</t>
  </si>
  <si>
    <t>Ss15</t>
  </si>
  <si>
    <t>Ss16</t>
  </si>
  <si>
    <t>Ss17</t>
  </si>
  <si>
    <t>Ss18</t>
  </si>
  <si>
    <t>Ss19</t>
  </si>
  <si>
    <t>Ss20</t>
  </si>
  <si>
    <t>Ss21</t>
  </si>
  <si>
    <t>Ss22</t>
  </si>
  <si>
    <t>Ss23</t>
  </si>
  <si>
    <t>Ss24</t>
  </si>
  <si>
    <t>Ss25</t>
  </si>
  <si>
    <t>Ss26</t>
  </si>
  <si>
    <t>Ss27</t>
  </si>
  <si>
    <t>Ss28</t>
  </si>
  <si>
    <t>Ss29</t>
  </si>
  <si>
    <t>Ss30</t>
  </si>
  <si>
    <t>Ss31</t>
  </si>
  <si>
    <t>Ss32</t>
  </si>
  <si>
    <t>Ss33</t>
  </si>
  <si>
    <t>Ss34</t>
  </si>
  <si>
    <t>Ss35</t>
  </si>
  <si>
    <t>Ss36</t>
  </si>
  <si>
    <t>Ss37</t>
  </si>
  <si>
    <t>Ss38</t>
  </si>
  <si>
    <t>Ss39</t>
  </si>
  <si>
    <t>Ss40</t>
  </si>
  <si>
    <t>Ss41</t>
  </si>
  <si>
    <t>Ss42</t>
  </si>
  <si>
    <t>Ss43</t>
  </si>
  <si>
    <t>Ss44</t>
  </si>
  <si>
    <t>Ss45</t>
  </si>
  <si>
    <t>Ss46</t>
  </si>
  <si>
    <t>Ss47</t>
  </si>
  <si>
    <t>Ss48</t>
  </si>
  <si>
    <t>Ss49</t>
  </si>
  <si>
    <t>Ss50</t>
  </si>
  <si>
    <t>Ss51</t>
  </si>
  <si>
    <t>Ss52</t>
  </si>
  <si>
    <t>Ss53</t>
  </si>
  <si>
    <t>Ss54</t>
  </si>
  <si>
    <t>Ss55</t>
  </si>
  <si>
    <t>Ss56</t>
  </si>
  <si>
    <t>Ss57</t>
  </si>
  <si>
    <t>Ss58</t>
  </si>
  <si>
    <t>Ss59</t>
  </si>
  <si>
    <t>Ss60</t>
  </si>
  <si>
    <t>Ss61</t>
  </si>
  <si>
    <t>Ss62</t>
  </si>
  <si>
    <t>Ss63</t>
  </si>
  <si>
    <t>Ss64</t>
  </si>
  <si>
    <t>Ss65</t>
  </si>
  <si>
    <t>Ss66</t>
  </si>
  <si>
    <t>Ss67</t>
  </si>
  <si>
    <t>Ss68</t>
  </si>
  <si>
    <t>Ss69</t>
  </si>
  <si>
    <t>Ss70</t>
  </si>
  <si>
    <t>Ss71</t>
  </si>
  <si>
    <t>Ss72</t>
  </si>
  <si>
    <t>Ss73</t>
  </si>
  <si>
    <t>Ss74</t>
  </si>
  <si>
    <t>Ss75</t>
  </si>
  <si>
    <t>Ss76</t>
  </si>
  <si>
    <t>Ss77</t>
  </si>
  <si>
    <t>Ss78</t>
  </si>
  <si>
    <t>Ss79</t>
  </si>
  <si>
    <t>Ss80</t>
  </si>
  <si>
    <t>Ss81</t>
  </si>
  <si>
    <t>Ss82</t>
  </si>
  <si>
    <t>Ss83</t>
  </si>
  <si>
    <t>Ss84</t>
  </si>
  <si>
    <t>Ss85</t>
  </si>
  <si>
    <t>Ss86</t>
  </si>
  <si>
    <t>Ss87</t>
  </si>
  <si>
    <t>Ss88</t>
  </si>
  <si>
    <t>Ss89</t>
  </si>
  <si>
    <t>Ss90</t>
  </si>
  <si>
    <t>Ss91</t>
  </si>
  <si>
    <t>Ss92</t>
  </si>
  <si>
    <t>Ss93</t>
  </si>
  <si>
    <t>Ss94</t>
  </si>
  <si>
    <t>Ss95</t>
  </si>
  <si>
    <t>Ss96</t>
  </si>
  <si>
    <t>Ss97</t>
  </si>
  <si>
    <t>Ss98</t>
  </si>
  <si>
    <t>Ss99</t>
  </si>
  <si>
    <t>Ss100</t>
  </si>
  <si>
    <t>Ss101</t>
  </si>
  <si>
    <t>Ss102</t>
  </si>
  <si>
    <t>Ss103</t>
  </si>
  <si>
    <t>Ss104</t>
  </si>
  <si>
    <t>Ss105</t>
  </si>
  <si>
    <t>Ss106</t>
  </si>
  <si>
    <t>Ss107</t>
  </si>
  <si>
    <t>Ss108</t>
  </si>
  <si>
    <t>Ss109</t>
  </si>
  <si>
    <t>Ss110</t>
  </si>
  <si>
    <t>Ss111</t>
  </si>
  <si>
    <t>Ss112</t>
  </si>
  <si>
    <t>Ss113</t>
  </si>
  <si>
    <t>Ss114</t>
  </si>
  <si>
    <t>Ss115</t>
  </si>
  <si>
    <t>Ss116</t>
  </si>
  <si>
    <t>Ss117</t>
  </si>
  <si>
    <t>Ss118</t>
  </si>
  <si>
    <t>Ss119</t>
  </si>
  <si>
    <t>Ss120</t>
  </si>
  <si>
    <t>Ss121</t>
  </si>
  <si>
    <t>Ss122</t>
  </si>
  <si>
    <t>Ss123</t>
  </si>
  <si>
    <t>Ss124</t>
  </si>
  <si>
    <t>Ss125</t>
  </si>
  <si>
    <t>Ss126</t>
  </si>
  <si>
    <t>Ss127</t>
  </si>
  <si>
    <t>Ss128</t>
  </si>
  <si>
    <t>Ss129</t>
  </si>
  <si>
    <t>Ss130</t>
  </si>
  <si>
    <t>Ss131</t>
  </si>
  <si>
    <t>Ss132</t>
  </si>
  <si>
    <t>Ss133</t>
  </si>
  <si>
    <t>Ss134</t>
  </si>
  <si>
    <t>Ss135</t>
  </si>
  <si>
    <t>Ss136</t>
  </si>
  <si>
    <t>Ss137</t>
  </si>
  <si>
    <t>Ss138</t>
  </si>
  <si>
    <t>Ss139</t>
  </si>
  <si>
    <t>Ss140</t>
  </si>
  <si>
    <t>Ss141</t>
  </si>
  <si>
    <t>Ss142</t>
  </si>
  <si>
    <t>Ss143</t>
  </si>
  <si>
    <t>Ss144</t>
  </si>
  <si>
    <t>Ss145</t>
  </si>
  <si>
    <t>Ss146</t>
  </si>
  <si>
    <t>Ss147</t>
  </si>
  <si>
    <t>Ss148</t>
  </si>
  <si>
    <t>Ss149</t>
  </si>
  <si>
    <t>Ss150</t>
  </si>
  <si>
    <t>Ss151</t>
  </si>
  <si>
    <t>Ss152</t>
  </si>
  <si>
    <t>Ss153</t>
  </si>
  <si>
    <t>Ss154</t>
  </si>
  <si>
    <t>Ss155</t>
  </si>
  <si>
    <t>Ss156</t>
  </si>
  <si>
    <t>Ss157</t>
  </si>
  <si>
    <t>Ss158</t>
  </si>
  <si>
    <t>Ss159</t>
  </si>
  <si>
    <t>Ss160</t>
  </si>
  <si>
    <t>Ss161</t>
  </si>
  <si>
    <t>Ss162</t>
  </si>
  <si>
    <t>Ss163</t>
  </si>
  <si>
    <t>Ss164</t>
  </si>
  <si>
    <t>Ss165</t>
  </si>
  <si>
    <t>Ss166</t>
  </si>
  <si>
    <t>Ss167</t>
  </si>
  <si>
    <t>Ss168</t>
  </si>
  <si>
    <t>Ss169</t>
  </si>
  <si>
    <t>Ss170</t>
  </si>
  <si>
    <t>Ss171</t>
  </si>
  <si>
    <t>Ss172</t>
  </si>
  <si>
    <t>Ss173</t>
  </si>
  <si>
    <t>Ss174</t>
  </si>
  <si>
    <t>Ss175</t>
  </si>
  <si>
    <t>Ss176</t>
  </si>
  <si>
    <t>Ss177</t>
  </si>
  <si>
    <t>Ss178</t>
  </si>
  <si>
    <t>Ss179</t>
  </si>
  <si>
    <t>Ss180</t>
  </si>
  <si>
    <t>Ss181</t>
  </si>
  <si>
    <t>Ss182</t>
  </si>
  <si>
    <t>Ss183</t>
  </si>
  <si>
    <t>Ss184</t>
  </si>
  <si>
    <t>Ss185</t>
  </si>
  <si>
    <t>Ss186</t>
  </si>
  <si>
    <t>Ss187</t>
  </si>
  <si>
    <t>Ss188</t>
  </si>
  <si>
    <t>Ss189</t>
  </si>
  <si>
    <t>Ss190</t>
  </si>
  <si>
    <t>Ss191</t>
  </si>
  <si>
    <t>Ss192</t>
  </si>
  <si>
    <t>Ss193</t>
  </si>
  <si>
    <t>Ss194</t>
  </si>
  <si>
    <t>Ss195</t>
  </si>
  <si>
    <t>Ss196</t>
  </si>
  <si>
    <t>Ss197</t>
  </si>
  <si>
    <t>Ss198</t>
  </si>
  <si>
    <t>Ss199</t>
  </si>
  <si>
    <t>Ss200</t>
  </si>
  <si>
    <t>Ssk1</t>
  </si>
  <si>
    <t>Ssk2</t>
  </si>
  <si>
    <t>Ssk3</t>
  </si>
  <si>
    <t>Ssk4</t>
  </si>
  <si>
    <t>Ssk5</t>
  </si>
  <si>
    <t>Ssk6</t>
  </si>
  <si>
    <t>Ssk7</t>
  </si>
  <si>
    <t>Ssk8</t>
  </si>
  <si>
    <t>Ssk9</t>
  </si>
  <si>
    <t>Ssk10</t>
  </si>
  <si>
    <t>Ssk11</t>
  </si>
  <si>
    <t>Ssk12</t>
  </si>
  <si>
    <t>Ssk13</t>
  </si>
  <si>
    <t>Ssk14</t>
  </si>
  <si>
    <t>Ssk15</t>
  </si>
  <si>
    <t>Ssk16</t>
  </si>
  <si>
    <t>Ssk17</t>
  </si>
  <si>
    <t>Ssk18</t>
  </si>
  <si>
    <t>Ssk19</t>
  </si>
  <si>
    <t>Ssk20</t>
  </si>
  <si>
    <t>Ssk21</t>
  </si>
  <si>
    <t>Ssk22</t>
  </si>
  <si>
    <t>Ssk23</t>
  </si>
  <si>
    <t>Ssk24</t>
  </si>
  <si>
    <t>Ssk25</t>
  </si>
  <si>
    <t>Ssk26</t>
  </si>
  <si>
    <t>Ssk27</t>
  </si>
  <si>
    <t>Ssk28</t>
  </si>
  <si>
    <t>Ssk29</t>
  </si>
  <si>
    <t>Ssk30</t>
  </si>
  <si>
    <t>Ssk31</t>
  </si>
  <si>
    <t>Ssk32</t>
  </si>
  <si>
    <t>Ssk33</t>
  </si>
  <si>
    <t>Ssk34</t>
  </si>
  <si>
    <t>Ssk35</t>
  </si>
  <si>
    <t>Ssk36</t>
  </si>
  <si>
    <t>Ssk37</t>
  </si>
  <si>
    <t>Ssk38</t>
  </si>
  <si>
    <t>Ssk39</t>
  </si>
  <si>
    <t>Ssk40</t>
  </si>
  <si>
    <t>Ssk41</t>
  </si>
  <si>
    <t>Ssk42</t>
  </si>
  <si>
    <t>Ssk43</t>
  </si>
  <si>
    <t>Ssk44</t>
  </si>
  <si>
    <t>Ssk45</t>
  </si>
  <si>
    <t>Ssk46</t>
  </si>
  <si>
    <t>Ssk47</t>
  </si>
  <si>
    <t>Ssk48</t>
  </si>
  <si>
    <t>Ssk49</t>
  </si>
  <si>
    <t>Ssk50</t>
  </si>
  <si>
    <t>Ssk51</t>
  </si>
  <si>
    <t>Ssk52</t>
  </si>
  <si>
    <t>Ssk53</t>
  </si>
  <si>
    <t>Ssk54</t>
  </si>
  <si>
    <t>Ssk55</t>
  </si>
  <si>
    <t>Ssk56</t>
  </si>
  <si>
    <t>Ssk57</t>
  </si>
  <si>
    <t>Ssk58</t>
  </si>
  <si>
    <t>Ssk59</t>
  </si>
  <si>
    <t>Ssk60</t>
  </si>
  <si>
    <t>Ssk61</t>
  </si>
  <si>
    <t>Ssk62</t>
  </si>
  <si>
    <t>Ssk63</t>
  </si>
  <si>
    <t>Ssk64</t>
  </si>
  <si>
    <t>Ssk65</t>
  </si>
  <si>
    <t>Ssk66</t>
  </si>
  <si>
    <t>Ssk67</t>
  </si>
  <si>
    <t>Ssk68</t>
  </si>
  <si>
    <t>Ssk69</t>
  </si>
  <si>
    <t>Ssk70</t>
  </si>
  <si>
    <t>Ssk71</t>
  </si>
  <si>
    <t>Ssk72</t>
  </si>
  <si>
    <t>Ssk73</t>
  </si>
  <si>
    <t>Ssk74</t>
  </si>
  <si>
    <t>Ssk75</t>
  </si>
  <si>
    <t>Ssk76</t>
  </si>
  <si>
    <t>Ssk77</t>
  </si>
  <si>
    <t>Ssk78</t>
  </si>
  <si>
    <t>Ssk79</t>
  </si>
  <si>
    <t>Ssk80</t>
  </si>
  <si>
    <t>Ssk81</t>
  </si>
  <si>
    <t>Ssk82</t>
  </si>
  <si>
    <t>Ssk83</t>
  </si>
  <si>
    <t>Ssk84</t>
  </si>
  <si>
    <t>Ssk85</t>
  </si>
  <si>
    <t>Ssk86</t>
  </si>
  <si>
    <t>Ssk87</t>
  </si>
  <si>
    <t>Ssk88</t>
  </si>
  <si>
    <t>Ssk89</t>
  </si>
  <si>
    <t>Ssk90</t>
  </si>
  <si>
    <t>Ssk91</t>
  </si>
  <si>
    <t>Ssk92</t>
  </si>
  <si>
    <t>Ssk93</t>
  </si>
  <si>
    <t>Ssk94</t>
  </si>
  <si>
    <t>Ssk95</t>
  </si>
  <si>
    <t>Ssk96</t>
  </si>
  <si>
    <t>Ssk97</t>
  </si>
  <si>
    <t>Ssk98</t>
  </si>
  <si>
    <t>Ssk99</t>
  </si>
  <si>
    <t>Ssk100</t>
  </si>
  <si>
    <t>Ssk101</t>
  </si>
  <si>
    <t>Ssk102</t>
  </si>
  <si>
    <t>Ssk103</t>
  </si>
  <si>
    <t>Ssk104</t>
  </si>
  <si>
    <t>Ssk105</t>
  </si>
  <si>
    <t>Ssk106</t>
  </si>
  <si>
    <t>Ssk107</t>
  </si>
  <si>
    <t>Ssk108</t>
  </si>
  <si>
    <t>Ssk109</t>
  </si>
  <si>
    <t>Ssk110</t>
  </si>
  <si>
    <t>Ssk111</t>
  </si>
  <si>
    <t>Ssk112</t>
  </si>
  <si>
    <t>Ssk113</t>
  </si>
  <si>
    <t>Ssk114</t>
  </si>
  <si>
    <t>Ssk115</t>
  </si>
  <si>
    <t>Ssk116</t>
  </si>
  <si>
    <t>Ssk117</t>
  </si>
  <si>
    <t>Ssk118</t>
  </si>
  <si>
    <t>Ssk119</t>
  </si>
  <si>
    <t>Ssk120</t>
  </si>
  <si>
    <t>Ssk121</t>
  </si>
  <si>
    <t>Ssk122</t>
  </si>
  <si>
    <t>Ssk123</t>
  </si>
  <si>
    <t>Ssk124</t>
  </si>
  <si>
    <t>Ssk125</t>
  </si>
  <si>
    <t>Ssk126</t>
  </si>
  <si>
    <t>Ssk127</t>
  </si>
  <si>
    <t>Ssk128</t>
  </si>
  <si>
    <t>Ssk129</t>
  </si>
  <si>
    <t>Ssk130</t>
  </si>
  <si>
    <t>Ssk131</t>
  </si>
  <si>
    <t>Ssk132</t>
  </si>
  <si>
    <t>Ssk133</t>
  </si>
  <si>
    <t>Ssk134</t>
  </si>
  <si>
    <t>Ssk135</t>
  </si>
  <si>
    <t>Ssk136</t>
  </si>
  <si>
    <t>Ssk137</t>
  </si>
  <si>
    <t>Ssk138</t>
  </si>
  <si>
    <t>Ssk139</t>
  </si>
  <si>
    <t>Ssk140</t>
  </si>
  <si>
    <t>Ssk141</t>
  </si>
  <si>
    <t>Ssk142</t>
  </si>
  <si>
    <t>Ssk143</t>
  </si>
  <si>
    <t>Ssk144</t>
  </si>
  <si>
    <t>Ssk145</t>
  </si>
  <si>
    <t>Ssk146</t>
  </si>
  <si>
    <t>Ssk147</t>
  </si>
  <si>
    <t>Ssk148</t>
  </si>
  <si>
    <t>Ssk149</t>
  </si>
  <si>
    <t>Ssk150</t>
  </si>
  <si>
    <t>Ssk151</t>
  </si>
  <si>
    <t>Ssk152</t>
  </si>
  <si>
    <t>Ssk153</t>
  </si>
  <si>
    <t>Ssk154</t>
  </si>
  <si>
    <t>Ssk155</t>
  </si>
  <si>
    <t>Ssk156</t>
  </si>
  <si>
    <t>Ssk157</t>
  </si>
  <si>
    <t>Ssk158</t>
  </si>
  <si>
    <t>Ssk159</t>
  </si>
  <si>
    <t>Ssk160</t>
  </si>
  <si>
    <t>Ssk161</t>
  </si>
  <si>
    <t>Ssk162</t>
  </si>
  <si>
    <t>Ssk163</t>
  </si>
  <si>
    <t>Ssk164</t>
  </si>
  <si>
    <t>Ssk165</t>
  </si>
  <si>
    <t>Ssk166</t>
  </si>
  <si>
    <t>Ssk167</t>
  </si>
  <si>
    <t>Ssk168</t>
  </si>
  <si>
    <t>Ssk169</t>
  </si>
  <si>
    <t>Ssk170</t>
  </si>
  <si>
    <t>Ssk171</t>
  </si>
  <si>
    <t>Ssk172</t>
  </si>
  <si>
    <t>Ssk173</t>
  </si>
  <si>
    <t>Ssk174</t>
  </si>
  <si>
    <t>Ssk175</t>
  </si>
  <si>
    <t>Ssk176</t>
  </si>
  <si>
    <t>Ssk177</t>
  </si>
  <si>
    <t>Ssk178</t>
  </si>
  <si>
    <t>Ssk179</t>
  </si>
  <si>
    <t>Ssk180</t>
  </si>
  <si>
    <t>Ssk181</t>
  </si>
  <si>
    <t>Ssk182</t>
  </si>
  <si>
    <t>Ssk183</t>
  </si>
  <si>
    <t>Ssk184</t>
  </si>
  <si>
    <t>Ssk185</t>
  </si>
  <si>
    <t>Ssk186</t>
  </si>
  <si>
    <t>Ssk187</t>
  </si>
  <si>
    <t>Ssk188</t>
  </si>
  <si>
    <t>Ssk189</t>
  </si>
  <si>
    <t>Ssk190</t>
  </si>
  <si>
    <t>Ssk191</t>
  </si>
  <si>
    <t>Ssk192</t>
  </si>
  <si>
    <t>Ssk193</t>
  </si>
  <si>
    <t>Ssk194</t>
  </si>
  <si>
    <t>Ssk195</t>
  </si>
  <si>
    <t>Ssk196</t>
  </si>
  <si>
    <t>Ssk197</t>
  </si>
  <si>
    <t>Ssk198</t>
  </si>
  <si>
    <t>Ssk199</t>
  </si>
  <si>
    <t>Ssk200</t>
  </si>
  <si>
    <t>Nn1</t>
  </si>
  <si>
    <t>Nn2</t>
  </si>
  <si>
    <t>Nn3</t>
  </si>
  <si>
    <t>Nn4</t>
  </si>
  <si>
    <t>Nn5</t>
  </si>
  <si>
    <t>Nn6</t>
  </si>
  <si>
    <t>Nn7</t>
  </si>
  <si>
    <t>Nn8</t>
  </si>
  <si>
    <t>Nn9</t>
  </si>
  <si>
    <t>Nn10</t>
  </si>
  <si>
    <t>Nn11</t>
  </si>
  <si>
    <t>Nn12</t>
  </si>
  <si>
    <t>Nn13</t>
  </si>
  <si>
    <t>Nn14</t>
  </si>
  <si>
    <t>Nn15</t>
  </si>
  <si>
    <t>Nn16</t>
  </si>
  <si>
    <t>Nn17</t>
  </si>
  <si>
    <t>Nn18</t>
  </si>
  <si>
    <t>Nn19</t>
  </si>
  <si>
    <t>Nn20</t>
  </si>
  <si>
    <t>Nn21</t>
  </si>
  <si>
    <t>Nn22</t>
  </si>
  <si>
    <t>Nn23</t>
  </si>
  <si>
    <t>Nn24</t>
  </si>
  <si>
    <t>Nn25</t>
  </si>
  <si>
    <t>Nn26</t>
  </si>
  <si>
    <t>Nn27</t>
  </si>
  <si>
    <t>Nn28</t>
  </si>
  <si>
    <t>Nn29</t>
  </si>
  <si>
    <t>Nn30</t>
  </si>
  <si>
    <t>Nn31</t>
  </si>
  <si>
    <t>Nn32</t>
  </si>
  <si>
    <t>Nn33</t>
  </si>
  <si>
    <t>Nn34</t>
  </si>
  <si>
    <t>Nn35</t>
  </si>
  <si>
    <t>Nn36</t>
  </si>
  <si>
    <t>Nn37</t>
  </si>
  <si>
    <t>Nn38</t>
  </si>
  <si>
    <t>Nn39</t>
  </si>
  <si>
    <t>Nn40</t>
  </si>
  <si>
    <t>Nn41</t>
  </si>
  <si>
    <t>Nn42</t>
  </si>
  <si>
    <t>Nn43</t>
  </si>
  <si>
    <t>Nn44</t>
  </si>
  <si>
    <t>Nn45</t>
  </si>
  <si>
    <t>Nn46</t>
  </si>
  <si>
    <t>Nn47</t>
  </si>
  <si>
    <t>Nn48</t>
  </si>
  <si>
    <t>Nn49</t>
  </si>
  <si>
    <t>Nn50</t>
  </si>
  <si>
    <t>Nn51</t>
  </si>
  <si>
    <t>Nn52</t>
  </si>
  <si>
    <t>Nn53</t>
  </si>
  <si>
    <t>Nn54</t>
  </si>
  <si>
    <t>Nn55</t>
  </si>
  <si>
    <t>Nn56</t>
  </si>
  <si>
    <t>Nn57</t>
  </si>
  <si>
    <t>Nn58</t>
  </si>
  <si>
    <t>Nn59</t>
  </si>
  <si>
    <t>Nn60</t>
  </si>
  <si>
    <t>Nn61</t>
  </si>
  <si>
    <t>Nn62</t>
  </si>
  <si>
    <t>Nn63</t>
  </si>
  <si>
    <t>Nn64</t>
  </si>
  <si>
    <t>Nn65</t>
  </si>
  <si>
    <t>Nn66</t>
  </si>
  <si>
    <t>Nn67</t>
  </si>
  <si>
    <t>Nn68</t>
  </si>
  <si>
    <t>Nn69</t>
  </si>
  <si>
    <t>Nn70</t>
  </si>
  <si>
    <t>Nn71</t>
  </si>
  <si>
    <t>Nn72</t>
  </si>
  <si>
    <t>Nn73</t>
  </si>
  <si>
    <t>Nn74</t>
  </si>
  <si>
    <t>Nn75</t>
  </si>
  <si>
    <t>Nn76</t>
  </si>
  <si>
    <t>Nn77</t>
  </si>
  <si>
    <t>Nn78</t>
  </si>
  <si>
    <t>Nn79</t>
  </si>
  <si>
    <t>Nn80</t>
  </si>
  <si>
    <t>Nn81</t>
  </si>
  <si>
    <t>Nn82</t>
  </si>
  <si>
    <t>Nn83</t>
  </si>
  <si>
    <t>Nn84</t>
  </si>
  <si>
    <t>Nn85</t>
  </si>
  <si>
    <t>Nn86</t>
  </si>
  <si>
    <t>Nn87</t>
  </si>
  <si>
    <t>Nn88</t>
  </si>
  <si>
    <t>Nn89</t>
  </si>
  <si>
    <t>Nn90</t>
  </si>
  <si>
    <t>Nn91</t>
  </si>
  <si>
    <t>Nn92</t>
  </si>
  <si>
    <t>Nn93</t>
  </si>
  <si>
    <t>Nn94</t>
  </si>
  <si>
    <t>Nn95</t>
  </si>
  <si>
    <t>Nn96</t>
  </si>
  <si>
    <t>Nn97</t>
  </si>
  <si>
    <t>Nn98</t>
  </si>
  <si>
    <t>Nn99</t>
  </si>
  <si>
    <t>Nn100</t>
  </si>
  <si>
    <t>Nn101</t>
  </si>
  <si>
    <t>Nn102</t>
  </si>
  <si>
    <t>Nn103</t>
  </si>
  <si>
    <t>Nn104</t>
  </si>
  <si>
    <t>Nn105</t>
  </si>
  <si>
    <t>Nn106</t>
  </si>
  <si>
    <t>Nn107</t>
  </si>
  <si>
    <t>Nn108</t>
  </si>
  <si>
    <t>Nn109</t>
  </si>
  <si>
    <t>Nn110</t>
  </si>
  <si>
    <t>Nn111</t>
  </si>
  <si>
    <t>Nn112</t>
  </si>
  <si>
    <t>Nn113</t>
  </si>
  <si>
    <t>Nn114</t>
  </si>
  <si>
    <t>Nn115</t>
  </si>
  <si>
    <t>Nn116</t>
  </si>
  <si>
    <t>Nn117</t>
  </si>
  <si>
    <t>Nn118</t>
  </si>
  <si>
    <t>Nn119</t>
  </si>
  <si>
    <t>Nn120</t>
  </si>
  <si>
    <t>Nn121</t>
  </si>
  <si>
    <t>Nn122</t>
  </si>
  <si>
    <t>Nn123</t>
  </si>
  <si>
    <t>Nn124</t>
  </si>
  <si>
    <t>Nn125</t>
  </si>
  <si>
    <t>Nn126</t>
  </si>
  <si>
    <t>Nn127</t>
  </si>
  <si>
    <t>Nn128</t>
  </si>
  <si>
    <t>Nn129</t>
  </si>
  <si>
    <t>Nn130</t>
  </si>
  <si>
    <t>Nn131</t>
  </si>
  <si>
    <t>Nn132</t>
  </si>
  <si>
    <t>Nn133</t>
  </si>
  <si>
    <t>Nn134</t>
  </si>
  <si>
    <t>Nn135</t>
  </si>
  <si>
    <t>Nn136</t>
  </si>
  <si>
    <t>Nn137</t>
  </si>
  <si>
    <t>Nn138</t>
  </si>
  <si>
    <t>Nn139</t>
  </si>
  <si>
    <t>Nn140</t>
  </si>
  <si>
    <t>Nn141</t>
  </si>
  <si>
    <t>Nn142</t>
  </si>
  <si>
    <t>Nn143</t>
  </si>
  <si>
    <t>Nn144</t>
  </si>
  <si>
    <t>Nn145</t>
  </si>
  <si>
    <t>Nn146</t>
  </si>
  <si>
    <t>Nn147</t>
  </si>
  <si>
    <t>Nn148</t>
  </si>
  <si>
    <t>Nn149</t>
  </si>
  <si>
    <t>Nn150</t>
  </si>
  <si>
    <t>Nn151</t>
  </si>
  <si>
    <t>Nn152</t>
  </si>
  <si>
    <t>Nn153</t>
  </si>
  <si>
    <t>Nn154</t>
  </si>
  <si>
    <t>Nn155</t>
  </si>
  <si>
    <t>Nn156</t>
  </si>
  <si>
    <t>Nn157</t>
  </si>
  <si>
    <t>Nn158</t>
  </si>
  <si>
    <t>Nn159</t>
  </si>
  <si>
    <t>Nn160</t>
  </si>
  <si>
    <t>Nn161</t>
  </si>
  <si>
    <t>Nn162</t>
  </si>
  <si>
    <t>Nn163</t>
  </si>
  <si>
    <t>Nn164</t>
  </si>
  <si>
    <t>Nn165</t>
  </si>
  <si>
    <t>Nn166</t>
  </si>
  <si>
    <t>Nn167</t>
  </si>
  <si>
    <t>Nn168</t>
  </si>
  <si>
    <t>Nn169</t>
  </si>
  <si>
    <t>Nn170</t>
  </si>
  <si>
    <t>Nn171</t>
  </si>
  <si>
    <t>Nn172</t>
  </si>
  <si>
    <t>Nn173</t>
  </si>
  <si>
    <t>Nn174</t>
  </si>
  <si>
    <t>Nn175</t>
  </si>
  <si>
    <t>Nn176</t>
  </si>
  <si>
    <t>Nn177</t>
  </si>
  <si>
    <t>Nn178</t>
  </si>
  <si>
    <t>Nn179</t>
  </si>
  <si>
    <t>Nn180</t>
  </si>
  <si>
    <t>Nn181</t>
  </si>
  <si>
    <t>Nn182</t>
  </si>
  <si>
    <t>Nn183</t>
  </si>
  <si>
    <t>Nn184</t>
  </si>
  <si>
    <t>Nn185</t>
  </si>
  <si>
    <t>Nn186</t>
  </si>
  <si>
    <t>Nn187</t>
  </si>
  <si>
    <t>Nn188</t>
  </si>
  <si>
    <t>Nn189</t>
  </si>
  <si>
    <t>Nn190</t>
  </si>
  <si>
    <t>Nn191</t>
  </si>
  <si>
    <t>Nn192</t>
  </si>
  <si>
    <t>Nn193</t>
  </si>
  <si>
    <t>Nn194</t>
  </si>
  <si>
    <t>Nn195</t>
  </si>
  <si>
    <t>Nn196</t>
  </si>
  <si>
    <t>Nn197</t>
  </si>
  <si>
    <t>Nn198</t>
  </si>
  <si>
    <t>Nn199</t>
  </si>
  <si>
    <t>Nn200</t>
  </si>
  <si>
    <t>Nö1</t>
  </si>
  <si>
    <t>Nö2</t>
  </si>
  <si>
    <t>Nö3</t>
  </si>
  <si>
    <t>Nö4</t>
  </si>
  <si>
    <t>Nö5</t>
  </si>
  <si>
    <t>Nö6</t>
  </si>
  <si>
    <t>Nö7</t>
  </si>
  <si>
    <t>Nö8</t>
  </si>
  <si>
    <t>Nö9</t>
  </si>
  <si>
    <t>Nö10</t>
  </si>
  <si>
    <t>Nö11</t>
  </si>
  <si>
    <t>Nö12</t>
  </si>
  <si>
    <t>Nö13</t>
  </si>
  <si>
    <t>Nö14</t>
  </si>
  <si>
    <t>Nö15</t>
  </si>
  <si>
    <t>Nö16</t>
  </si>
  <si>
    <t>Nö17</t>
  </si>
  <si>
    <t>Nö18</t>
  </si>
  <si>
    <t>Nö19</t>
  </si>
  <si>
    <t>Nö20</t>
  </si>
  <si>
    <t>Nö21</t>
  </si>
  <si>
    <t>Nö22</t>
  </si>
  <si>
    <t>Nö23</t>
  </si>
  <si>
    <t>Nö24</t>
  </si>
  <si>
    <t>Nö25</t>
  </si>
  <si>
    <t>Nö26</t>
  </si>
  <si>
    <t>Nö27</t>
  </si>
  <si>
    <t>Nö28</t>
  </si>
  <si>
    <t>Nö29</t>
  </si>
  <si>
    <t>Nö30</t>
  </si>
  <si>
    <t>Nö31</t>
  </si>
  <si>
    <t>Nö32</t>
  </si>
  <si>
    <t>Nö33</t>
  </si>
  <si>
    <t>Nö34</t>
  </si>
  <si>
    <t>Nö35</t>
  </si>
  <si>
    <t>Nö36</t>
  </si>
  <si>
    <t>Nö37</t>
  </si>
  <si>
    <t>Nö38</t>
  </si>
  <si>
    <t>Nö39</t>
  </si>
  <si>
    <t>Nö40</t>
  </si>
  <si>
    <t>Nö41</t>
  </si>
  <si>
    <t>Nö42</t>
  </si>
  <si>
    <t>Nö43</t>
  </si>
  <si>
    <t>Nö44</t>
  </si>
  <si>
    <t>Nö45</t>
  </si>
  <si>
    <t>Nö46</t>
  </si>
  <si>
    <t>Nö47</t>
  </si>
  <si>
    <t>Nö48</t>
  </si>
  <si>
    <t>Nö49</t>
  </si>
  <si>
    <t>Nö50</t>
  </si>
  <si>
    <t>Nö51</t>
  </si>
  <si>
    <t>Nö52</t>
  </si>
  <si>
    <t>Nö53</t>
  </si>
  <si>
    <t>Nö54</t>
  </si>
  <si>
    <t>Nö55</t>
  </si>
  <si>
    <t>Nö56</t>
  </si>
  <si>
    <t>Nö57</t>
  </si>
  <si>
    <t>Nö58</t>
  </si>
  <si>
    <t>Nö59</t>
  </si>
  <si>
    <t>Nö60</t>
  </si>
  <si>
    <t>Nö61</t>
  </si>
  <si>
    <t>Nö62</t>
  </si>
  <si>
    <t>Nö63</t>
  </si>
  <si>
    <t>Nö64</t>
  </si>
  <si>
    <t>Nö65</t>
  </si>
  <si>
    <t>Nö66</t>
  </si>
  <si>
    <t>Nö67</t>
  </si>
  <si>
    <t>Nö68</t>
  </si>
  <si>
    <t>Nö69</t>
  </si>
  <si>
    <t>Nö70</t>
  </si>
  <si>
    <t>Nö71</t>
  </si>
  <si>
    <t>Nö72</t>
  </si>
  <si>
    <t>Nö73</t>
  </si>
  <si>
    <t>Nö74</t>
  </si>
  <si>
    <t>Nö75</t>
  </si>
  <si>
    <t>Nö76</t>
  </si>
  <si>
    <t>Nö77</t>
  </si>
  <si>
    <t>Nö78</t>
  </si>
  <si>
    <t>Nö79</t>
  </si>
  <si>
    <t>Nö80</t>
  </si>
  <si>
    <t>Nö81</t>
  </si>
  <si>
    <t>Nö82</t>
  </si>
  <si>
    <t>Nö83</t>
  </si>
  <si>
    <t>Nö84</t>
  </si>
  <si>
    <t>Nö85</t>
  </si>
  <si>
    <t>Nö86</t>
  </si>
  <si>
    <t>Nö87</t>
  </si>
  <si>
    <t>Nö88</t>
  </si>
  <si>
    <t>Nö89</t>
  </si>
  <si>
    <t>Nö90</t>
  </si>
  <si>
    <t>Nö91</t>
  </si>
  <si>
    <t>Nö92</t>
  </si>
  <si>
    <t>Nö93</t>
  </si>
  <si>
    <t>Nö94</t>
  </si>
  <si>
    <t>Nö95</t>
  </si>
  <si>
    <t>Nö96</t>
  </si>
  <si>
    <t>Nö97</t>
  </si>
  <si>
    <t>Nö98</t>
  </si>
  <si>
    <t>Nö99</t>
  </si>
  <si>
    <t>Nö100</t>
  </si>
  <si>
    <t>Nö101</t>
  </si>
  <si>
    <t>Nö102</t>
  </si>
  <si>
    <t>Nö103</t>
  </si>
  <si>
    <t>Nö104</t>
  </si>
  <si>
    <t>Nö105</t>
  </si>
  <si>
    <t>Nö106</t>
  </si>
  <si>
    <t>Nö107</t>
  </si>
  <si>
    <t>Nö108</t>
  </si>
  <si>
    <t>Nö109</t>
  </si>
  <si>
    <t>Nö110</t>
  </si>
  <si>
    <t>Nö111</t>
  </si>
  <si>
    <t>Nö112</t>
  </si>
  <si>
    <t>Nö113</t>
  </si>
  <si>
    <t>Nö114</t>
  </si>
  <si>
    <t>Nö115</t>
  </si>
  <si>
    <t>Nö116</t>
  </si>
  <si>
    <t>Nö117</t>
  </si>
  <si>
    <t>Nö118</t>
  </si>
  <si>
    <t>Nö119</t>
  </si>
  <si>
    <t>Nö120</t>
  </si>
  <si>
    <t>Nö121</t>
  </si>
  <si>
    <t>Nö122</t>
  </si>
  <si>
    <t>Nö123</t>
  </si>
  <si>
    <t>Nö124</t>
  </si>
  <si>
    <t>Nö125</t>
  </si>
  <si>
    <t>Nö126</t>
  </si>
  <si>
    <t>Nö127</t>
  </si>
  <si>
    <t>Nö128</t>
  </si>
  <si>
    <t>Nö129</t>
  </si>
  <si>
    <t>Nö130</t>
  </si>
  <si>
    <t>Nö131</t>
  </si>
  <si>
    <t>Nö132</t>
  </si>
  <si>
    <t>Nö133</t>
  </si>
  <si>
    <t>Nö134</t>
  </si>
  <si>
    <t>Nö135</t>
  </si>
  <si>
    <t>Nö136</t>
  </si>
  <si>
    <t>Nö137</t>
  </si>
  <si>
    <t>Nö138</t>
  </si>
  <si>
    <t>Nö139</t>
  </si>
  <si>
    <t>Nö140</t>
  </si>
  <si>
    <t>Nö141</t>
  </si>
  <si>
    <t>Nö142</t>
  </si>
  <si>
    <t>Nö143</t>
  </si>
  <si>
    <t>Nö144</t>
  </si>
  <si>
    <t>Nö145</t>
  </si>
  <si>
    <t>Nö146</t>
  </si>
  <si>
    <t>Nö147</t>
  </si>
  <si>
    <t>Nö148</t>
  </si>
  <si>
    <t>Nö149</t>
  </si>
  <si>
    <t>Nö150</t>
  </si>
  <si>
    <t>Nö151</t>
  </si>
  <si>
    <t>Nö152</t>
  </si>
  <si>
    <t>Nö153</t>
  </si>
  <si>
    <t>Nö154</t>
  </si>
  <si>
    <t>Nö155</t>
  </si>
  <si>
    <t>Nö156</t>
  </si>
  <si>
    <t>Nö157</t>
  </si>
  <si>
    <t>Nö158</t>
  </si>
  <si>
    <t>Nö159</t>
  </si>
  <si>
    <t>Nö160</t>
  </si>
  <si>
    <t>Nö161</t>
  </si>
  <si>
    <t>Nö162</t>
  </si>
  <si>
    <t>Nö163</t>
  </si>
  <si>
    <t>Nö164</t>
  </si>
  <si>
    <t>Nö165</t>
  </si>
  <si>
    <t>Nö166</t>
  </si>
  <si>
    <t>Nö167</t>
  </si>
  <si>
    <t>Nö168</t>
  </si>
  <si>
    <t>Nö169</t>
  </si>
  <si>
    <t>Nö170</t>
  </si>
  <si>
    <t>Nö171</t>
  </si>
  <si>
    <t>Nö172</t>
  </si>
  <si>
    <t>Nö173</t>
  </si>
  <si>
    <t>Nö174</t>
  </si>
  <si>
    <t>Nö175</t>
  </si>
  <si>
    <t>Nö176</t>
  </si>
  <si>
    <t>Nö177</t>
  </si>
  <si>
    <t>Nö178</t>
  </si>
  <si>
    <t>Nö179</t>
  </si>
  <si>
    <t>Nö180</t>
  </si>
  <si>
    <t>Nö181</t>
  </si>
  <si>
    <t>Nö182</t>
  </si>
  <si>
    <t>Nö183</t>
  </si>
  <si>
    <t>Nö184</t>
  </si>
  <si>
    <t>Nö185</t>
  </si>
  <si>
    <t>Nö186</t>
  </si>
  <si>
    <t>Nö187</t>
  </si>
  <si>
    <t>Nö188</t>
  </si>
  <si>
    <t>Nö189</t>
  </si>
  <si>
    <t>Nö190</t>
  </si>
  <si>
    <t>Nö191</t>
  </si>
  <si>
    <t>Nö192</t>
  </si>
  <si>
    <t>Nö193</t>
  </si>
  <si>
    <t>Nö194</t>
  </si>
  <si>
    <t>Nö195</t>
  </si>
  <si>
    <t>Nö196</t>
  </si>
  <si>
    <t>Nö197</t>
  </si>
  <si>
    <t>Nö198</t>
  </si>
  <si>
    <t>Nö199</t>
  </si>
  <si>
    <t>Nö200</t>
  </si>
  <si>
    <t>Kund</t>
  </si>
  <si>
    <t>Namn</t>
  </si>
  <si>
    <t>Adressrad 1</t>
  </si>
  <si>
    <t>Adressrad 2</t>
  </si>
  <si>
    <t>Postnr</t>
  </si>
  <si>
    <t>Postadress</t>
  </si>
  <si>
    <t>Org nr</t>
  </si>
  <si>
    <t>VAT-nr</t>
  </si>
  <si>
    <t>Epostadress</t>
  </si>
  <si>
    <t>Betaln villkor</t>
  </si>
  <si>
    <t>Er referens/Ert ordernr</t>
  </si>
  <si>
    <t>Summering</t>
  </si>
  <si>
    <t>Belopp brutto</t>
  </si>
  <si>
    <t>Belopp netto</t>
  </si>
  <si>
    <t>OBS</t>
  </si>
  <si>
    <t>Verifikation</t>
  </si>
  <si>
    <t>Kundnr i kredit!!</t>
  </si>
  <si>
    <t>Prod nr</t>
  </si>
  <si>
    <t>Kredit konto</t>
  </si>
  <si>
    <t>Debet konto</t>
  </si>
  <si>
    <t>Projekt (R7)</t>
  </si>
  <si>
    <t>Kst (R1)</t>
  </si>
  <si>
    <t>Koncession (R2)</t>
  </si>
  <si>
    <t>Subkonto (R3)</t>
  </si>
  <si>
    <t>Inv spec (R4)</t>
  </si>
  <si>
    <t>Belopp</t>
  </si>
  <si>
    <t>Förf datum</t>
  </si>
  <si>
    <t>Debet momskod</t>
  </si>
  <si>
    <t>Rad nr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</si>
</sst>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0\ &quot;kr&quot;;[Red]\-#,##0\ &quot;kr&quot;"/>
    <numFmt numFmtId="42" formatCode="_-* #,##0\ &quot;kr&quot;_-;\-* #,##0\ &quot;kr&quot;_-;_-* &quot;-&quot;\ &quot;kr&quot;_-;_-@_-"/>
    <numFmt numFmtId="41" formatCode="_-* #,##0\ _k_r_-;\-* #,##0\ _k_r_-;_-* &quot;-&quot;\ _k_r_-;_-@_-"/>
    <numFmt numFmtId="164" formatCode="#,##0.00_ ;\-#,##0.00\ "/>
    <numFmt numFmtId="165" formatCode="#,##0_ ;\-#,##0\ "/>
    <numFmt numFmtId="166" formatCode="0_ ;[Red]\-0\ "/>
    <numFmt numFmtId="167" formatCode="0;[Red]0"/>
    <numFmt numFmtId="168" formatCode="0.0%"/>
    <numFmt numFmtId="169" formatCode="yyyy/mm/dd;@"/>
    <numFmt numFmtId="170" formatCode="#,##0_ ;[Red]\-#,##0\ "/>
  </numFmts>
  <fonts count="75">
    <font>
      <sz val="10"/>
      <name val="Arial"/>
    </font>
    <font>
      <sz val="11"/>
      <color theme="1"/>
      <name val="Calibri"/>
      <family val="2"/>
      <scheme val="minor"/>
    </font>
    <font>
      <sz val="11"/>
      <color theme="1"/>
      <name val="Calibri"/>
      <family val="2"/>
      <scheme val="minor"/>
    </font>
    <font>
      <sz val="8"/>
      <name val="Arial"/>
      <family val="2"/>
    </font>
    <font>
      <b/>
      <sz val="12"/>
      <name val="Arial"/>
      <family val="2"/>
    </font>
    <font>
      <sz val="10"/>
      <name val="Arial"/>
      <family val="2"/>
    </font>
    <font>
      <sz val="10"/>
      <color indexed="10"/>
      <name val="Arial"/>
      <family val="2"/>
    </font>
    <font>
      <b/>
      <sz val="10"/>
      <name val="Arial"/>
      <family val="2"/>
    </font>
    <font>
      <i/>
      <sz val="10"/>
      <name val="Tms Rmn"/>
      <family val="1"/>
    </font>
    <font>
      <i/>
      <sz val="10"/>
      <name val="Tms Rmn"/>
    </font>
    <font>
      <sz val="10"/>
      <name val="Tms Rmn"/>
      <family val="1"/>
    </font>
    <font>
      <i/>
      <sz val="10"/>
      <name val="Arial"/>
      <family val="2"/>
    </font>
    <font>
      <b/>
      <i/>
      <sz val="10"/>
      <name val="Arial"/>
      <family val="2"/>
    </font>
    <font>
      <i/>
      <sz val="16"/>
      <color indexed="10"/>
      <name val="Arial"/>
      <family val="2"/>
    </font>
    <font>
      <sz val="10"/>
      <color indexed="8"/>
      <name val="Arial"/>
      <family val="2"/>
    </font>
    <font>
      <i/>
      <sz val="9"/>
      <name val="Arial"/>
      <family val="2"/>
    </font>
    <font>
      <b/>
      <i/>
      <sz val="14"/>
      <name val="Arial"/>
      <family val="2"/>
    </font>
    <font>
      <b/>
      <sz val="14"/>
      <name val="Arial"/>
      <family val="2"/>
    </font>
    <font>
      <sz val="14"/>
      <name val="Arial"/>
      <family val="2"/>
    </font>
    <font>
      <sz val="12"/>
      <name val="Arial"/>
      <family val="2"/>
    </font>
    <font>
      <sz val="10"/>
      <color theme="1"/>
      <name val="Tahoma"/>
      <family val="2"/>
    </font>
    <font>
      <sz val="10"/>
      <color rgb="FFFF0000"/>
      <name val="Tms Rmn"/>
      <family val="1"/>
    </font>
    <font>
      <sz val="10"/>
      <color rgb="FFFF0000"/>
      <name val="Arial"/>
      <family val="2"/>
    </font>
    <font>
      <sz val="10"/>
      <color rgb="FFCCFFCC"/>
      <name val="Arial"/>
      <family val="2"/>
    </font>
    <font>
      <b/>
      <sz val="10"/>
      <color rgb="FFCCFFCC"/>
      <name val="Arial"/>
      <family val="2"/>
    </font>
    <font>
      <b/>
      <sz val="7"/>
      <name val="Arial"/>
      <family val="2"/>
    </font>
    <font>
      <b/>
      <i/>
      <sz val="18"/>
      <name val="Arial"/>
      <family val="2"/>
    </font>
    <font>
      <b/>
      <sz val="10"/>
      <color theme="1"/>
      <name val="Verdana"/>
      <family val="2"/>
    </font>
    <font>
      <sz val="10"/>
      <name val="Verdana"/>
      <family val="2"/>
    </font>
    <font>
      <sz val="10"/>
      <color theme="0" tint="-4.9989318521683403E-2"/>
      <name val="Verdana"/>
      <family val="2"/>
    </font>
    <font>
      <sz val="8"/>
      <name val="Verdana"/>
      <family val="2"/>
    </font>
    <font>
      <b/>
      <i/>
      <sz val="10"/>
      <name val="Verdana"/>
      <family val="2"/>
    </font>
    <font>
      <sz val="9"/>
      <name val="Verdana"/>
      <family val="2"/>
    </font>
    <font>
      <b/>
      <sz val="8"/>
      <color theme="1"/>
      <name val="Verdana"/>
      <family val="2"/>
    </font>
    <font>
      <b/>
      <sz val="8"/>
      <name val="Verdana"/>
      <family val="2"/>
    </font>
    <font>
      <sz val="8"/>
      <color theme="0" tint="-4.9989318521683403E-2"/>
      <name val="Verdana"/>
      <family val="2"/>
    </font>
    <font>
      <i/>
      <sz val="9"/>
      <name val="Verdana"/>
      <family val="2"/>
    </font>
    <font>
      <i/>
      <sz val="10"/>
      <color rgb="FFFF0000"/>
      <name val="Verdana"/>
      <family val="2"/>
    </font>
    <font>
      <b/>
      <sz val="9"/>
      <color theme="1"/>
      <name val="Verdana"/>
      <family val="2"/>
    </font>
    <font>
      <i/>
      <sz val="8"/>
      <name val="Verdana"/>
      <family val="2"/>
    </font>
    <font>
      <sz val="10"/>
      <name val="Cambria"/>
      <family val="1"/>
    </font>
    <font>
      <b/>
      <sz val="10"/>
      <name val="Cambria"/>
      <family val="1"/>
    </font>
    <font>
      <sz val="8"/>
      <name val="Tms Rmn"/>
      <family val="1"/>
    </font>
    <font>
      <sz val="9"/>
      <name val="Cambria"/>
      <family val="1"/>
    </font>
    <font>
      <b/>
      <sz val="11"/>
      <name val="Arial"/>
      <family val="2"/>
    </font>
    <font>
      <sz val="10"/>
      <color theme="0"/>
      <name val="Arial"/>
      <family val="2"/>
    </font>
    <font>
      <b/>
      <sz val="11"/>
      <color theme="1"/>
      <name val="Calibri"/>
      <family val="2"/>
      <scheme val="minor"/>
    </font>
    <font>
      <b/>
      <sz val="11"/>
      <color rgb="FFFF0000"/>
      <name val="Calibri"/>
      <family val="2"/>
      <scheme val="minor"/>
    </font>
    <font>
      <b/>
      <sz val="12"/>
      <color rgb="FFFF0000"/>
      <name val="Calibri"/>
      <family val="2"/>
      <scheme val="minor"/>
    </font>
    <font>
      <b/>
      <sz val="10"/>
      <color rgb="FFFF0000"/>
      <name val="Calibri"/>
      <family val="2"/>
      <scheme val="minor"/>
    </font>
    <font>
      <i/>
      <sz val="11"/>
      <color rgb="FFFF0000"/>
      <name val="Calibri"/>
      <family val="2"/>
      <scheme val="minor"/>
    </font>
    <font>
      <b/>
      <sz val="10"/>
      <name val="Verdana"/>
      <family val="2"/>
    </font>
    <font>
      <b/>
      <i/>
      <sz val="8"/>
      <color rgb="FFFF0000"/>
      <name val="Verdana"/>
      <family val="2"/>
    </font>
    <font>
      <i/>
      <sz val="8"/>
      <color rgb="FFFF0000"/>
      <name val="Verdana"/>
      <family val="2"/>
    </font>
    <font>
      <b/>
      <sz val="12"/>
      <color rgb="FF2E8B57"/>
      <name val="Calibri"/>
      <family val="2"/>
      <scheme val="minor"/>
    </font>
    <font>
      <sz val="10"/>
      <color rgb="FFFFFFCC"/>
      <name val="Arial"/>
      <family val="2"/>
    </font>
    <font>
      <b/>
      <u/>
      <sz val="14"/>
      <name val="Calibri"/>
      <family val="2"/>
    </font>
    <font>
      <b/>
      <sz val="14"/>
      <name val="Calibri"/>
      <family val="2"/>
    </font>
    <font>
      <sz val="14"/>
      <name val="Calibri"/>
      <family val="2"/>
    </font>
    <font>
      <sz val="9"/>
      <color indexed="81"/>
      <name val="Tahoma"/>
      <family val="2"/>
    </font>
    <font>
      <b/>
      <sz val="11"/>
      <color indexed="81"/>
      <name val="Tahoma"/>
      <family val="2"/>
    </font>
    <font>
      <b/>
      <sz val="9"/>
      <color indexed="81"/>
      <name val="Tahoma"/>
      <family val="2"/>
    </font>
    <font>
      <b/>
      <i/>
      <sz val="8"/>
      <name val="Arial"/>
      <family val="2"/>
    </font>
    <font>
      <b/>
      <i/>
      <sz val="9"/>
      <name val="Arial"/>
      <family val="2"/>
    </font>
    <font>
      <b/>
      <i/>
      <sz val="9"/>
      <name val="Tms Rmn"/>
      <family val="1"/>
    </font>
    <font>
      <b/>
      <i/>
      <sz val="10"/>
      <name val="Tms Rmn"/>
      <family val="1"/>
    </font>
    <font>
      <sz val="11"/>
      <color theme="1"/>
      <name val="Times New Roman"/>
      <family val="1"/>
    </font>
    <font>
      <i/>
      <sz val="11"/>
      <color theme="1"/>
      <name val="Times New Roman"/>
      <family val="1"/>
    </font>
    <font>
      <i/>
      <sz val="11"/>
      <color rgb="FF000000"/>
      <name val="Arial"/>
      <family val="2"/>
    </font>
    <font>
      <b/>
      <i/>
      <sz val="11"/>
      <color theme="1"/>
      <name val="Times New Roman"/>
      <family val="1"/>
    </font>
    <font>
      <i/>
      <sz val="11"/>
      <color rgb="FF000000"/>
      <name val="Times New Roman"/>
      <family val="1"/>
    </font>
    <font>
      <b/>
      <sz val="11"/>
      <color theme="1"/>
      <name val="Times New Roman"/>
      <family val="1"/>
    </font>
    <font>
      <sz val="11"/>
      <color rgb="FFFF0000"/>
      <name val="Times New Roman"/>
      <family val="1"/>
    </font>
    <font>
      <sz val="10"/>
      <color theme="1"/>
      <name val="Times New Roman"/>
      <family val="1"/>
    </font>
    <font>
      <u/>
      <sz val="10"/>
      <color theme="10"/>
      <name val="Arial"/>
      <family val="2"/>
    </font>
  </fonts>
  <fills count="23">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40"/>
        <bgColor indexed="64"/>
      </patternFill>
    </fill>
    <fill>
      <patternFill patternType="solid">
        <fgColor indexed="27"/>
        <bgColor indexed="64"/>
      </patternFill>
    </fill>
    <fill>
      <patternFill patternType="solid">
        <fgColor indexed="9"/>
        <bgColor indexed="64"/>
      </patternFill>
    </fill>
    <fill>
      <patternFill patternType="solid">
        <fgColor indexed="42"/>
        <bgColor indexed="64"/>
      </patternFill>
    </fill>
    <fill>
      <patternFill patternType="solid">
        <fgColor indexed="15"/>
        <bgColor indexed="64"/>
      </patternFill>
    </fill>
    <fill>
      <patternFill patternType="solid">
        <fgColor rgb="FFFFFF00"/>
        <bgColor indexed="64"/>
      </patternFill>
    </fill>
    <fill>
      <patternFill patternType="solid">
        <fgColor theme="0"/>
        <bgColor indexed="64"/>
      </patternFill>
    </fill>
    <fill>
      <patternFill patternType="solid">
        <fgColor rgb="FFCCFFCC"/>
        <bgColor indexed="64"/>
      </patternFill>
    </fill>
    <fill>
      <gradientFill degree="270">
        <stop position="0">
          <color theme="0"/>
        </stop>
        <stop position="1">
          <color theme="0" tint="-0.25098422193060094"/>
        </stop>
      </gradientFill>
    </fill>
    <fill>
      <patternFill patternType="solid">
        <fgColor theme="0" tint="-4.9989318521683403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rgb="FFF3F3F3"/>
        <bgColor rgb="FFF3F3F3"/>
      </patternFill>
    </fill>
    <fill>
      <patternFill patternType="solid">
        <fgColor rgb="FF85E7E2"/>
        <bgColor indexed="64"/>
      </patternFill>
    </fill>
    <fill>
      <patternFill patternType="solid">
        <fgColor theme="8" tint="0.59999389629810485"/>
        <bgColor indexed="64"/>
      </patternFill>
    </fill>
    <fill>
      <patternFill patternType="solid">
        <fgColor rgb="FFFFFFCC"/>
        <bgColor indexed="64"/>
      </patternFill>
    </fill>
    <fill>
      <patternFill patternType="solid">
        <fgColor rgb="FF00B0F0"/>
        <bgColor indexed="64"/>
      </patternFill>
    </fill>
  </fills>
  <borders count="110">
    <border>
      <left/>
      <right/>
      <top/>
      <bottom/>
      <diagonal/>
    </border>
    <border>
      <left/>
      <right/>
      <top/>
      <bottom style="double">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thin">
        <color indexed="64"/>
      </left>
      <right/>
      <top/>
      <bottom/>
      <diagonal/>
    </border>
    <border>
      <left style="hair">
        <color indexed="64"/>
      </left>
      <right style="hair">
        <color indexed="64"/>
      </right>
      <top style="hair">
        <color indexed="64"/>
      </top>
      <bottom style="hair">
        <color indexed="64"/>
      </bottom>
      <diagonal/>
    </border>
    <border>
      <left/>
      <right/>
      <top style="hair">
        <color indexed="64"/>
      </top>
      <bottom style="hair">
        <color indexed="64"/>
      </bottom>
      <diagonal/>
    </border>
    <border>
      <left/>
      <right style="thin">
        <color indexed="64"/>
      </right>
      <top/>
      <bottom/>
      <diagonal/>
    </border>
    <border>
      <left/>
      <right/>
      <top style="thin">
        <color indexed="64"/>
      </top>
      <bottom style="double">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bottom style="thin">
        <color indexed="64"/>
      </bottom>
      <diagonal/>
    </border>
    <border>
      <left/>
      <right style="thin">
        <color indexed="64"/>
      </right>
      <top/>
      <bottom style="thin">
        <color indexed="64"/>
      </bottom>
      <diagonal/>
    </border>
    <border>
      <left style="hair">
        <color indexed="64"/>
      </left>
      <right style="hair">
        <color indexed="64"/>
      </right>
      <top/>
      <bottom/>
      <diagonal/>
    </border>
    <border>
      <left/>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top/>
      <bottom style="medium">
        <color indexed="12"/>
      </bottom>
      <diagonal/>
    </border>
    <border>
      <left/>
      <right style="medium">
        <color indexed="12"/>
      </right>
      <top/>
      <bottom style="medium">
        <color indexed="12"/>
      </bottom>
      <diagonal/>
    </border>
    <border>
      <left style="thick">
        <color indexed="10"/>
      </left>
      <right style="thick">
        <color indexed="10"/>
      </right>
      <top style="thick">
        <color indexed="10"/>
      </top>
      <bottom style="thick">
        <color indexed="10"/>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
      <left/>
      <right style="hair">
        <color indexed="64"/>
      </right>
      <top style="hair">
        <color indexed="64"/>
      </top>
      <bottom style="hair">
        <color indexed="64"/>
      </bottom>
      <diagonal/>
    </border>
    <border>
      <left/>
      <right/>
      <top style="double">
        <color indexed="64"/>
      </top>
      <bottom style="double">
        <color indexed="64"/>
      </bottom>
      <diagonal/>
    </border>
    <border>
      <left/>
      <right/>
      <top style="dotted">
        <color indexed="64"/>
      </top>
      <bottom/>
      <diagonal/>
    </border>
    <border>
      <left style="medium">
        <color indexed="64"/>
      </left>
      <right/>
      <top style="medium">
        <color indexed="64"/>
      </top>
      <bottom style="medium">
        <color indexed="64"/>
      </bottom>
      <diagonal/>
    </border>
    <border>
      <left/>
      <right/>
      <top/>
      <bottom style="dashed">
        <color indexed="64"/>
      </bottom>
      <diagonal/>
    </border>
    <border>
      <left/>
      <right/>
      <top style="double">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style="hair">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hair">
        <color indexed="64"/>
      </right>
      <top/>
      <bottom/>
      <diagonal/>
    </border>
    <border>
      <left/>
      <right/>
      <top style="medium">
        <color auto="1"/>
      </top>
      <bottom/>
      <diagonal/>
    </border>
    <border>
      <left/>
      <right/>
      <top/>
      <bottom style="medium">
        <color auto="1"/>
      </bottom>
      <diagonal/>
    </border>
    <border>
      <left style="medium">
        <color indexed="64"/>
      </left>
      <right/>
      <top style="medium">
        <color indexed="64"/>
      </top>
      <bottom/>
      <diagonal/>
    </border>
    <border>
      <left/>
      <right/>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right/>
      <top style="thin">
        <color theme="0" tint="-0.499984740745262"/>
      </top>
      <bottom/>
      <diagonal/>
    </border>
    <border>
      <left style="thin">
        <color indexed="64"/>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indexed="64"/>
      </top>
      <bottom style="thin">
        <color theme="0" tint="-0.499984740745262"/>
      </bottom>
      <diagonal/>
    </border>
    <border>
      <left/>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right style="thin">
        <color theme="0" tint="-0.499984740745262"/>
      </right>
      <top style="thin">
        <color indexed="64"/>
      </top>
      <bottom style="thin">
        <color theme="0" tint="-0.499984740745262"/>
      </bottom>
      <diagonal/>
    </border>
    <border>
      <left style="thin">
        <color indexed="64"/>
      </left>
      <right/>
      <top style="thin">
        <color theme="0" tint="-0.499984740745262"/>
      </top>
      <bottom style="thin">
        <color theme="0" tint="-0.499984740745262"/>
      </bottom>
      <diagonal/>
    </border>
    <border>
      <left/>
      <right style="thin">
        <color theme="0" tint="-0.499984740745262"/>
      </right>
      <top/>
      <bottom style="thin">
        <color indexed="64"/>
      </bottom>
      <diagonal/>
    </border>
    <border>
      <left/>
      <right/>
      <top style="thin">
        <color theme="0" tint="-0.499984740745262"/>
      </top>
      <bottom style="thin">
        <color indexed="64"/>
      </bottom>
      <diagonal/>
    </border>
    <border>
      <left style="thick">
        <color auto="1"/>
      </left>
      <right style="thick">
        <color auto="1"/>
      </right>
      <top style="thick">
        <color auto="1"/>
      </top>
      <bottom style="thick">
        <color auto="1"/>
      </bottom>
      <diagonal/>
    </border>
    <border>
      <left/>
      <right/>
      <top style="thin">
        <color auto="1"/>
      </top>
      <bottom/>
      <diagonal/>
    </border>
    <border>
      <left style="thin">
        <color indexed="64"/>
      </left>
      <right/>
      <top/>
      <bottom style="double">
        <color indexed="64"/>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top/>
      <bottom style="thick">
        <color auto="1"/>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bottom style="thin">
        <color theme="0" tint="-0.499984740745262"/>
      </bottom>
      <diagonal/>
    </border>
    <border>
      <left/>
      <right style="thin">
        <color indexed="64"/>
      </right>
      <top/>
      <bottom style="double">
        <color indexed="64"/>
      </bottom>
      <diagonal/>
    </border>
    <border>
      <left/>
      <right/>
      <top style="dashed">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auto="1"/>
      </top>
      <bottom style="medium">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auto="1"/>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auto="1"/>
      </left>
      <right style="thin">
        <color auto="1"/>
      </right>
      <top/>
      <bottom/>
      <diagonal/>
    </border>
    <border>
      <left style="thin">
        <color auto="1"/>
      </left>
      <right style="thin">
        <color auto="1"/>
      </right>
      <top/>
      <bottom style="thin">
        <color auto="1"/>
      </bottom>
      <diagonal/>
    </border>
    <border>
      <left/>
      <right style="medium">
        <color indexed="64"/>
      </right>
      <top/>
      <bottom style="medium">
        <color indexed="64"/>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medium">
        <color indexed="12"/>
      </left>
      <right/>
      <top style="medium">
        <color indexed="12"/>
      </top>
      <bottom/>
      <diagonal/>
    </border>
    <border>
      <left/>
      <right/>
      <top style="medium">
        <color indexed="12"/>
      </top>
      <bottom/>
      <diagonal/>
    </border>
    <border>
      <left/>
      <right style="medium">
        <color indexed="12"/>
      </right>
      <top style="medium">
        <color indexed="12"/>
      </top>
      <bottom/>
      <diagonal/>
    </border>
    <border>
      <left style="medium">
        <color indexed="12"/>
      </left>
      <right style="medium">
        <color indexed="12"/>
      </right>
      <top style="medium">
        <color indexed="12"/>
      </top>
      <bottom style="medium">
        <color indexed="12"/>
      </bottom>
      <diagonal/>
    </border>
    <border>
      <left/>
      <right style="medium">
        <color auto="1"/>
      </right>
      <top style="medium">
        <color auto="1"/>
      </top>
      <bottom/>
      <diagonal/>
    </border>
    <border>
      <left style="thin">
        <color indexed="11"/>
      </left>
      <right style="thin">
        <color indexed="11"/>
      </right>
      <top style="thin">
        <color indexed="11"/>
      </top>
      <bottom style="thin">
        <color indexed="1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64"/>
      </left>
      <right/>
      <top style="thin">
        <color indexed="64"/>
      </top>
      <bottom/>
      <diagonal/>
    </border>
  </borders>
  <cellStyleXfs count="4">
    <xf numFmtId="0" fontId="0" fillId="0" borderId="0"/>
    <xf numFmtId="0" fontId="20" fillId="0" borderId="0"/>
    <xf numFmtId="0" fontId="2" fillId="0" borderId="0"/>
    <xf numFmtId="0" fontId="74" fillId="0" borderId="0" applyNumberFormat="0" applyFill="0" applyBorder="0" applyAlignment="0" applyProtection="0"/>
  </cellStyleXfs>
  <cellXfs count="527">
    <xf numFmtId="0" fontId="0" fillId="0" borderId="0" xfId="0"/>
    <xf numFmtId="0" fontId="10" fillId="0" borderId="0" xfId="0" applyFont="1"/>
    <xf numFmtId="0" fontId="12" fillId="0" borderId="3" xfId="0" applyFont="1" applyBorder="1" applyProtection="1">
      <protection locked="0"/>
    </xf>
    <xf numFmtId="0" fontId="11" fillId="0" borderId="4" xfId="0" applyFont="1" applyBorder="1" applyProtection="1">
      <protection locked="0"/>
    </xf>
    <xf numFmtId="0" fontId="11" fillId="0" borderId="5" xfId="0" applyFont="1" applyBorder="1" applyProtection="1">
      <protection locked="0"/>
    </xf>
    <xf numFmtId="1" fontId="11" fillId="3" borderId="4" xfId="0" applyNumberFormat="1" applyFont="1" applyFill="1" applyBorder="1" applyProtection="1">
      <protection hidden="1"/>
    </xf>
    <xf numFmtId="41" fontId="12" fillId="3" borderId="7" xfId="0" applyNumberFormat="1" applyFont="1" applyFill="1" applyBorder="1" applyProtection="1">
      <protection hidden="1"/>
    </xf>
    <xf numFmtId="1" fontId="0" fillId="4" borderId="0" xfId="0" applyNumberFormat="1" applyFill="1" applyProtection="1">
      <protection hidden="1"/>
    </xf>
    <xf numFmtId="0" fontId="11" fillId="3" borderId="10" xfId="0" applyFont="1" applyFill="1" applyBorder="1" applyProtection="1">
      <protection hidden="1"/>
    </xf>
    <xf numFmtId="0" fontId="0" fillId="4" borderId="0" xfId="0" applyFill="1" applyProtection="1">
      <protection hidden="1"/>
    </xf>
    <xf numFmtId="0" fontId="0" fillId="0" borderId="0" xfId="0" applyProtection="1">
      <protection hidden="1"/>
    </xf>
    <xf numFmtId="0" fontId="8" fillId="2" borderId="6" xfId="0" applyFont="1" applyFill="1" applyBorder="1" applyProtection="1">
      <protection hidden="1"/>
    </xf>
    <xf numFmtId="0" fontId="8" fillId="2" borderId="0" xfId="0" applyFont="1" applyFill="1" applyProtection="1">
      <protection hidden="1"/>
    </xf>
    <xf numFmtId="0" fontId="9" fillId="2" borderId="0" xfId="0" applyFont="1" applyFill="1" applyProtection="1">
      <protection hidden="1"/>
    </xf>
    <xf numFmtId="0" fontId="10" fillId="2" borderId="0" xfId="0" applyFont="1" applyFill="1" applyProtection="1">
      <protection hidden="1"/>
    </xf>
    <xf numFmtId="0" fontId="10" fillId="2" borderId="9" xfId="0" applyFont="1" applyFill="1" applyBorder="1" applyProtection="1">
      <protection hidden="1"/>
    </xf>
    <xf numFmtId="0" fontId="12" fillId="2" borderId="6" xfId="0" applyFont="1" applyFill="1" applyBorder="1" applyProtection="1">
      <protection hidden="1"/>
    </xf>
    <xf numFmtId="0" fontId="11" fillId="2" borderId="11" xfId="0" applyFont="1" applyFill="1" applyBorder="1" applyProtection="1">
      <protection hidden="1"/>
    </xf>
    <xf numFmtId="0" fontId="8" fillId="2" borderId="12" xfId="0" applyFont="1" applyFill="1" applyBorder="1" applyProtection="1">
      <protection hidden="1"/>
    </xf>
    <xf numFmtId="0" fontId="12" fillId="3" borderId="11" xfId="0" applyFont="1" applyFill="1" applyBorder="1" applyProtection="1">
      <protection hidden="1"/>
    </xf>
    <xf numFmtId="0" fontId="11" fillId="2" borderId="12" xfId="0" applyFont="1" applyFill="1" applyBorder="1" applyProtection="1">
      <protection hidden="1"/>
    </xf>
    <xf numFmtId="0" fontId="11" fillId="2" borderId="15" xfId="0" applyFont="1" applyFill="1" applyBorder="1" applyProtection="1">
      <protection hidden="1"/>
    </xf>
    <xf numFmtId="0" fontId="11" fillId="3" borderId="7" xfId="0" applyFont="1" applyFill="1" applyBorder="1" applyAlignment="1" applyProtection="1">
      <alignment horizontal="center"/>
      <protection hidden="1"/>
    </xf>
    <xf numFmtId="0" fontId="11" fillId="3" borderId="0" xfId="0" applyFont="1" applyFill="1" applyAlignment="1" applyProtection="1">
      <alignment horizontal="center"/>
      <protection hidden="1"/>
    </xf>
    <xf numFmtId="0" fontId="11" fillId="3" borderId="16" xfId="0" applyFont="1" applyFill="1" applyBorder="1" applyAlignment="1" applyProtection="1">
      <alignment horizontal="center"/>
      <protection hidden="1"/>
    </xf>
    <xf numFmtId="0" fontId="11" fillId="3" borderId="9" xfId="0" applyFont="1" applyFill="1" applyBorder="1" applyAlignment="1" applyProtection="1">
      <alignment horizontal="center"/>
      <protection hidden="1"/>
    </xf>
    <xf numFmtId="0" fontId="11" fillId="3" borderId="17" xfId="0" applyFont="1" applyFill="1" applyBorder="1" applyProtection="1">
      <protection hidden="1"/>
    </xf>
    <xf numFmtId="0" fontId="11" fillId="3" borderId="18" xfId="0" applyFont="1" applyFill="1" applyBorder="1" applyProtection="1">
      <protection hidden="1"/>
    </xf>
    <xf numFmtId="0" fontId="11" fillId="3" borderId="19" xfId="0" applyFont="1" applyFill="1" applyBorder="1" applyProtection="1">
      <protection hidden="1"/>
    </xf>
    <xf numFmtId="0" fontId="11" fillId="3" borderId="20" xfId="0" applyFont="1" applyFill="1" applyBorder="1" applyProtection="1">
      <protection hidden="1"/>
    </xf>
    <xf numFmtId="1" fontId="0" fillId="0" borderId="0" xfId="0" applyNumberFormat="1" applyProtection="1">
      <protection hidden="1"/>
    </xf>
    <xf numFmtId="0" fontId="11" fillId="3" borderId="21" xfId="0" applyFont="1" applyFill="1" applyBorder="1" applyProtection="1">
      <protection hidden="1"/>
    </xf>
    <xf numFmtId="0" fontId="11" fillId="3" borderId="5" xfId="0" applyFont="1" applyFill="1" applyBorder="1" applyProtection="1">
      <protection hidden="1"/>
    </xf>
    <xf numFmtId="0" fontId="12" fillId="3" borderId="5" xfId="0" applyFont="1" applyFill="1" applyBorder="1" applyProtection="1">
      <protection hidden="1"/>
    </xf>
    <xf numFmtId="0" fontId="11" fillId="0" borderId="20" xfId="0" applyFont="1" applyBorder="1" applyProtection="1">
      <protection locked="0"/>
    </xf>
    <xf numFmtId="0" fontId="0" fillId="5" borderId="22" xfId="0" applyFill="1" applyBorder="1" applyProtection="1">
      <protection hidden="1"/>
    </xf>
    <xf numFmtId="0" fontId="0" fillId="5" borderId="0" xfId="0" applyFill="1" applyProtection="1">
      <protection hidden="1"/>
    </xf>
    <xf numFmtId="0" fontId="0" fillId="5" borderId="23" xfId="0" applyFill="1" applyBorder="1" applyProtection="1">
      <protection hidden="1"/>
    </xf>
    <xf numFmtId="0" fontId="14" fillId="5" borderId="0" xfId="0" applyFont="1" applyFill="1" applyProtection="1">
      <protection hidden="1"/>
    </xf>
    <xf numFmtId="2" fontId="6" fillId="5" borderId="0" xfId="0" applyNumberFormat="1" applyFont="1" applyFill="1" applyProtection="1">
      <protection hidden="1"/>
    </xf>
    <xf numFmtId="0" fontId="0" fillId="5" borderId="24" xfId="0" applyFill="1" applyBorder="1" applyProtection="1">
      <protection hidden="1"/>
    </xf>
    <xf numFmtId="0" fontId="14" fillId="5" borderId="25" xfId="0" applyFont="1" applyFill="1" applyBorder="1" applyProtection="1">
      <protection hidden="1"/>
    </xf>
    <xf numFmtId="2" fontId="6" fillId="5" borderId="25" xfId="0" applyNumberFormat="1" applyFont="1" applyFill="1" applyBorder="1" applyProtection="1">
      <protection hidden="1"/>
    </xf>
    <xf numFmtId="0" fontId="0" fillId="5" borderId="26" xfId="0" applyFill="1" applyBorder="1" applyProtection="1">
      <protection hidden="1"/>
    </xf>
    <xf numFmtId="42" fontId="11" fillId="3" borderId="0" xfId="0" applyNumberFormat="1" applyFont="1" applyFill="1"/>
    <xf numFmtId="6" fontId="0" fillId="4" borderId="0" xfId="0" applyNumberFormat="1" applyFill="1" applyProtection="1">
      <protection hidden="1"/>
    </xf>
    <xf numFmtId="6" fontId="5" fillId="4" borderId="0" xfId="0" applyNumberFormat="1" applyFont="1" applyFill="1" applyProtection="1">
      <protection hidden="1"/>
    </xf>
    <xf numFmtId="1" fontId="11" fillId="9" borderId="0" xfId="0" applyNumberFormat="1" applyFont="1" applyFill="1" applyProtection="1">
      <protection hidden="1"/>
    </xf>
    <xf numFmtId="0" fontId="11" fillId="9" borderId="0" xfId="0" applyFont="1" applyFill="1"/>
    <xf numFmtId="0" fontId="11" fillId="9" borderId="0" xfId="0" applyFont="1" applyFill="1" applyProtection="1">
      <protection hidden="1"/>
    </xf>
    <xf numFmtId="0" fontId="0" fillId="9" borderId="0" xfId="0" applyFill="1"/>
    <xf numFmtId="0" fontId="12" fillId="3" borderId="36" xfId="0" applyFont="1" applyFill="1" applyBorder="1" applyProtection="1">
      <protection hidden="1"/>
    </xf>
    <xf numFmtId="0" fontId="21" fillId="0" borderId="0" xfId="0" applyFont="1"/>
    <xf numFmtId="0" fontId="22" fillId="0" borderId="0" xfId="0" applyFont="1"/>
    <xf numFmtId="0" fontId="11" fillId="3" borderId="14" xfId="0" applyFont="1" applyFill="1" applyBorder="1" applyProtection="1">
      <protection hidden="1"/>
    </xf>
    <xf numFmtId="0" fontId="0" fillId="9" borderId="2" xfId="0" applyFill="1" applyBorder="1"/>
    <xf numFmtId="0" fontId="0" fillId="7" borderId="0" xfId="0" applyFill="1"/>
    <xf numFmtId="0" fontId="5" fillId="7" borderId="0" xfId="0" applyFont="1" applyFill="1" applyAlignment="1">
      <alignment vertical="top"/>
    </xf>
    <xf numFmtId="0" fontId="5" fillId="7" borderId="0" xfId="0" applyFont="1" applyFill="1"/>
    <xf numFmtId="0" fontId="0" fillId="8" borderId="3" xfId="0" applyFill="1" applyBorder="1"/>
    <xf numFmtId="0" fontId="0" fillId="7" borderId="0" xfId="0" applyFill="1" applyAlignment="1">
      <alignment horizontal="right"/>
    </xf>
    <xf numFmtId="0" fontId="0" fillId="7" borderId="0" xfId="0" quotePrefix="1" applyFill="1"/>
    <xf numFmtId="0" fontId="5" fillId="0" borderId="15" xfId="0" applyFont="1" applyBorder="1"/>
    <xf numFmtId="0" fontId="5" fillId="0" borderId="0" xfId="0" applyFont="1"/>
    <xf numFmtId="0" fontId="8" fillId="7" borderId="0" xfId="0" applyFont="1" applyFill="1"/>
    <xf numFmtId="0" fontId="3" fillId="7" borderId="0" xfId="0" applyFont="1" applyFill="1"/>
    <xf numFmtId="0" fontId="5" fillId="9" borderId="0" xfId="0" applyFont="1" applyFill="1"/>
    <xf numFmtId="0" fontId="11" fillId="9" borderId="12" xfId="0" applyFont="1" applyFill="1" applyBorder="1"/>
    <xf numFmtId="0" fontId="5" fillId="9" borderId="12" xfId="0" applyFont="1" applyFill="1" applyBorder="1"/>
    <xf numFmtId="0" fontId="5" fillId="9" borderId="2" xfId="0" applyFont="1" applyFill="1" applyBorder="1"/>
    <xf numFmtId="0" fontId="7" fillId="9" borderId="2" xfId="0" applyFont="1" applyFill="1" applyBorder="1"/>
    <xf numFmtId="1" fontId="11" fillId="9" borderId="0" xfId="0" applyNumberFormat="1" applyFont="1" applyFill="1"/>
    <xf numFmtId="0" fontId="11" fillId="9" borderId="0" xfId="0" applyFont="1" applyFill="1" applyAlignment="1">
      <alignment horizontal="center"/>
    </xf>
    <xf numFmtId="42" fontId="5" fillId="9" borderId="12" xfId="0" applyNumberFormat="1" applyFont="1" applyFill="1" applyBorder="1"/>
    <xf numFmtId="42" fontId="0" fillId="7" borderId="0" xfId="0" applyNumberFormat="1" applyFill="1"/>
    <xf numFmtId="0" fontId="12" fillId="9" borderId="0" xfId="0" applyFont="1" applyFill="1"/>
    <xf numFmtId="0" fontId="5" fillId="9" borderId="1" xfId="0" applyFont="1" applyFill="1" applyBorder="1"/>
    <xf numFmtId="0" fontId="11" fillId="9" borderId="1" xfId="0" applyFont="1" applyFill="1" applyBorder="1"/>
    <xf numFmtId="2" fontId="0" fillId="9" borderId="2" xfId="0" applyNumberFormat="1" applyFill="1" applyBorder="1" applyAlignment="1">
      <alignment wrapText="1"/>
    </xf>
    <xf numFmtId="2" fontId="0" fillId="9" borderId="0" xfId="0" applyNumberFormat="1" applyFill="1" applyAlignment="1">
      <alignment wrapText="1"/>
    </xf>
    <xf numFmtId="0" fontId="15" fillId="9" borderId="35" xfId="0" applyFont="1" applyFill="1" applyBorder="1"/>
    <xf numFmtId="0" fontId="5" fillId="7" borderId="0" xfId="0" quotePrefix="1" applyFont="1" applyFill="1"/>
    <xf numFmtId="1" fontId="7" fillId="8" borderId="32" xfId="0" applyNumberFormat="1" applyFont="1" applyFill="1" applyBorder="1" applyAlignment="1">
      <alignment horizontal="center"/>
    </xf>
    <xf numFmtId="42" fontId="23" fillId="7" borderId="0" xfId="0" applyNumberFormat="1" applyFont="1" applyFill="1"/>
    <xf numFmtId="0" fontId="7" fillId="9" borderId="0" xfId="0" applyFont="1" applyFill="1"/>
    <xf numFmtId="0" fontId="11" fillId="3" borderId="0" xfId="0" applyFont="1" applyFill="1"/>
    <xf numFmtId="0" fontId="19" fillId="9" borderId="0" xfId="0" applyFont="1" applyFill="1"/>
    <xf numFmtId="0" fontId="7" fillId="9" borderId="0" xfId="0" applyFont="1" applyFill="1" applyAlignment="1">
      <alignment horizontal="left"/>
    </xf>
    <xf numFmtId="42" fontId="24" fillId="7" borderId="0" xfId="0" applyNumberFormat="1" applyFont="1" applyFill="1"/>
    <xf numFmtId="0" fontId="0" fillId="11" borderId="0" xfId="0" applyFill="1"/>
    <xf numFmtId="2" fontId="25" fillId="2" borderId="32" xfId="0" applyNumberFormat="1" applyFont="1" applyFill="1" applyBorder="1" applyProtection="1">
      <protection hidden="1"/>
    </xf>
    <xf numFmtId="0" fontId="12" fillId="9" borderId="1" xfId="0" applyFont="1" applyFill="1" applyBorder="1" applyAlignment="1">
      <alignment horizontal="right"/>
    </xf>
    <xf numFmtId="0" fontId="0" fillId="4" borderId="0" xfId="0" applyFill="1" applyAlignment="1" applyProtection="1">
      <alignment vertical="top"/>
      <protection hidden="1"/>
    </xf>
    <xf numFmtId="6" fontId="0" fillId="4" borderId="0" xfId="0" applyNumberFormat="1" applyFill="1" applyAlignment="1" applyProtection="1">
      <alignment vertical="top"/>
      <protection hidden="1"/>
    </xf>
    <xf numFmtId="49" fontId="32" fillId="13" borderId="51" xfId="0" applyNumberFormat="1" applyFont="1" applyFill="1" applyBorder="1" applyAlignment="1" applyProtection="1">
      <alignment horizontal="center"/>
      <protection locked="0"/>
    </xf>
    <xf numFmtId="49" fontId="28" fillId="13" borderId="51" xfId="0" applyNumberFormat="1" applyFont="1" applyFill="1" applyBorder="1" applyAlignment="1" applyProtection="1">
      <alignment horizontal="center"/>
      <protection locked="0"/>
    </xf>
    <xf numFmtId="0" fontId="32" fillId="13" borderId="51" xfId="0" applyFont="1" applyFill="1" applyBorder="1" applyAlignment="1">
      <alignment horizontal="center"/>
    </xf>
    <xf numFmtId="2" fontId="32" fillId="13" borderId="51" xfId="0" applyNumberFormat="1" applyFont="1" applyFill="1" applyBorder="1"/>
    <xf numFmtId="0" fontId="30" fillId="13" borderId="51" xfId="0" applyFont="1" applyFill="1" applyBorder="1" applyAlignment="1">
      <alignment horizontal="center"/>
    </xf>
    <xf numFmtId="0" fontId="28" fillId="13" borderId="0" xfId="0" applyFont="1" applyFill="1" applyProtection="1">
      <protection locked="0"/>
    </xf>
    <xf numFmtId="0" fontId="29" fillId="13" borderId="0" xfId="0" applyFont="1" applyFill="1" applyAlignment="1" applyProtection="1">
      <alignment horizontal="center"/>
      <protection locked="0"/>
    </xf>
    <xf numFmtId="0" fontId="28" fillId="13" borderId="0" xfId="0" applyFont="1" applyFill="1"/>
    <xf numFmtId="0" fontId="40" fillId="13" borderId="0" xfId="0" applyFont="1" applyFill="1"/>
    <xf numFmtId="0" fontId="27" fillId="12" borderId="51" xfId="0" applyFont="1" applyFill="1" applyBorder="1"/>
    <xf numFmtId="0" fontId="30" fillId="14" borderId="52" xfId="0" applyFont="1" applyFill="1" applyBorder="1" applyAlignment="1">
      <alignment horizontal="left"/>
    </xf>
    <xf numFmtId="0" fontId="29" fillId="13" borderId="0" xfId="0" applyFont="1" applyFill="1" applyAlignment="1">
      <alignment horizontal="center"/>
    </xf>
    <xf numFmtId="0" fontId="30" fillId="14" borderId="52" xfId="0" applyFont="1" applyFill="1" applyBorder="1" applyAlignment="1">
      <alignment horizontal="center"/>
    </xf>
    <xf numFmtId="0" fontId="33" fillId="12" borderId="51" xfId="0" applyFont="1" applyFill="1" applyBorder="1"/>
    <xf numFmtId="0" fontId="30" fillId="14" borderId="52" xfId="0" applyFont="1" applyFill="1" applyBorder="1" applyAlignment="1">
      <alignment horizontal="center" wrapText="1"/>
    </xf>
    <xf numFmtId="164" fontId="34" fillId="14" borderId="52" xfId="0" applyNumberFormat="1" applyFont="1" applyFill="1" applyBorder="1" applyAlignment="1">
      <alignment horizontal="center" wrapText="1"/>
    </xf>
    <xf numFmtId="0" fontId="35" fillId="13" borderId="0" xfId="0" applyFont="1" applyFill="1" applyAlignment="1">
      <alignment horizontal="center"/>
    </xf>
    <xf numFmtId="0" fontId="30" fillId="14" borderId="3" xfId="0" applyFont="1" applyFill="1" applyBorder="1" applyAlignment="1">
      <alignment horizontal="center" wrapText="1"/>
    </xf>
    <xf numFmtId="0" fontId="28" fillId="13" borderId="12" xfId="0" applyFont="1" applyFill="1" applyBorder="1"/>
    <xf numFmtId="0" fontId="39" fillId="13" borderId="0" xfId="0" applyFont="1" applyFill="1" applyAlignment="1">
      <alignment vertical="top"/>
    </xf>
    <xf numFmtId="0" fontId="30" fillId="13" borderId="0" xfId="0" applyFont="1" applyFill="1"/>
    <xf numFmtId="0" fontId="12" fillId="2" borderId="0" xfId="0" applyFont="1" applyFill="1" applyProtection="1">
      <protection hidden="1"/>
    </xf>
    <xf numFmtId="0" fontId="42" fillId="2" borderId="0" xfId="0" applyFont="1" applyFill="1" applyProtection="1">
      <protection hidden="1"/>
    </xf>
    <xf numFmtId="42" fontId="11" fillId="9" borderId="0" xfId="0" applyNumberFormat="1" applyFont="1" applyFill="1"/>
    <xf numFmtId="165" fontId="34" fillId="14" borderId="52" xfId="0" applyNumberFormat="1" applyFont="1" applyFill="1" applyBorder="1" applyAlignment="1">
      <alignment horizontal="center" wrapText="1"/>
    </xf>
    <xf numFmtId="1" fontId="32" fillId="13" borderId="51" xfId="0" applyNumberFormat="1" applyFont="1" applyFill="1" applyBorder="1"/>
    <xf numFmtId="0" fontId="5" fillId="4" borderId="0" xfId="0" applyFont="1" applyFill="1" applyProtection="1">
      <protection hidden="1"/>
    </xf>
    <xf numFmtId="0" fontId="8" fillId="9" borderId="0" xfId="0" applyFont="1" applyFill="1"/>
    <xf numFmtId="0" fontId="28" fillId="13" borderId="51" xfId="0" applyFont="1" applyFill="1" applyBorder="1" applyAlignment="1">
      <alignment horizontal="left"/>
    </xf>
    <xf numFmtId="2" fontId="25" fillId="0" borderId="3" xfId="0" applyNumberFormat="1" applyFont="1" applyBorder="1" applyProtection="1">
      <protection locked="0"/>
    </xf>
    <xf numFmtId="1" fontId="5" fillId="9" borderId="0" xfId="0" applyNumberFormat="1" applyFont="1" applyFill="1"/>
    <xf numFmtId="1" fontId="5" fillId="9" borderId="12" xfId="0" applyNumberFormat="1" applyFont="1" applyFill="1" applyBorder="1"/>
    <xf numFmtId="1" fontId="11" fillId="0" borderId="0" xfId="0" applyNumberFormat="1" applyFont="1" applyProtection="1">
      <protection locked="0"/>
    </xf>
    <xf numFmtId="1" fontId="5" fillId="9" borderId="1" xfId="0" applyNumberFormat="1" applyFont="1" applyFill="1" applyBorder="1"/>
    <xf numFmtId="1" fontId="12" fillId="9" borderId="34" xfId="0" applyNumberFormat="1" applyFont="1" applyFill="1" applyBorder="1" applyProtection="1">
      <protection hidden="1"/>
    </xf>
    <xf numFmtId="1" fontId="4" fillId="9" borderId="2" xfId="0" quotePrefix="1" applyNumberFormat="1" applyFont="1" applyFill="1" applyBorder="1" applyAlignment="1">
      <alignment wrapText="1"/>
    </xf>
    <xf numFmtId="1" fontId="0" fillId="9" borderId="0" xfId="0" applyNumberFormat="1" applyFill="1"/>
    <xf numFmtId="1" fontId="0" fillId="7" borderId="0" xfId="0" applyNumberFormat="1" applyFill="1"/>
    <xf numFmtId="1" fontId="0" fillId="0" borderId="0" xfId="0" applyNumberFormat="1"/>
    <xf numFmtId="0" fontId="2" fillId="0" borderId="0" xfId="2" applyAlignment="1" applyProtection="1">
      <alignment horizontal="left"/>
      <protection hidden="1"/>
    </xf>
    <xf numFmtId="0" fontId="47" fillId="17" borderId="72" xfId="2" applyFont="1" applyFill="1" applyBorder="1" applyAlignment="1" applyProtection="1">
      <alignment horizontal="left"/>
      <protection hidden="1"/>
    </xf>
    <xf numFmtId="0" fontId="2" fillId="0" borderId="0" xfId="2" applyProtection="1">
      <protection hidden="1"/>
    </xf>
    <xf numFmtId="0" fontId="2" fillId="0" borderId="0" xfId="2" applyAlignment="1" applyProtection="1">
      <alignment horizontal="center"/>
      <protection hidden="1"/>
    </xf>
    <xf numFmtId="0" fontId="30" fillId="14" borderId="52" xfId="2" applyFont="1" applyFill="1" applyBorder="1" applyAlignment="1" applyProtection="1">
      <alignment horizontal="left"/>
      <protection hidden="1"/>
    </xf>
    <xf numFmtId="0" fontId="30" fillId="14" borderId="52" xfId="2" applyFont="1" applyFill="1" applyBorder="1" applyAlignment="1" applyProtection="1">
      <alignment horizontal="center"/>
      <protection hidden="1"/>
    </xf>
    <xf numFmtId="0" fontId="30" fillId="13" borderId="51" xfId="2" applyFont="1" applyFill="1" applyBorder="1" applyAlignment="1" applyProtection="1">
      <alignment horizontal="left"/>
      <protection hidden="1"/>
    </xf>
    <xf numFmtId="0" fontId="30" fillId="13" borderId="51" xfId="2" applyFont="1" applyFill="1" applyBorder="1" applyAlignment="1" applyProtection="1">
      <alignment horizontal="center"/>
      <protection hidden="1"/>
    </xf>
    <xf numFmtId="0" fontId="48" fillId="0" borderId="0" xfId="2" applyFont="1" applyProtection="1">
      <protection hidden="1"/>
    </xf>
    <xf numFmtId="0" fontId="49" fillId="0" borderId="0" xfId="2" applyFont="1" applyProtection="1">
      <protection hidden="1"/>
    </xf>
    <xf numFmtId="0" fontId="50" fillId="0" borderId="0" xfId="2" applyFont="1" applyProtection="1">
      <protection hidden="1"/>
    </xf>
    <xf numFmtId="0" fontId="30" fillId="14" borderId="52" xfId="2" applyFont="1" applyFill="1" applyBorder="1" applyAlignment="1" applyProtection="1">
      <alignment horizontal="left" wrapText="1"/>
      <protection hidden="1"/>
    </xf>
    <xf numFmtId="0" fontId="30" fillId="14" borderId="52" xfId="2" applyFont="1" applyFill="1" applyBorder="1" applyAlignment="1" applyProtection="1">
      <alignment horizontal="center" wrapText="1"/>
      <protection hidden="1"/>
    </xf>
    <xf numFmtId="0" fontId="2" fillId="0" borderId="0" xfId="2" applyAlignment="1" applyProtection="1">
      <alignment wrapText="1"/>
      <protection hidden="1"/>
    </xf>
    <xf numFmtId="0" fontId="2" fillId="9" borderId="0" xfId="2" applyFill="1" applyAlignment="1" applyProtection="1">
      <alignment wrapText="1"/>
      <protection hidden="1"/>
    </xf>
    <xf numFmtId="0" fontId="2" fillId="9" borderId="0" xfId="2" applyFill="1" applyProtection="1">
      <protection hidden="1"/>
    </xf>
    <xf numFmtId="0" fontId="28" fillId="9" borderId="0" xfId="0" applyFont="1" applyFill="1"/>
    <xf numFmtId="0" fontId="51" fillId="13" borderId="0" xfId="0" applyFont="1" applyFill="1"/>
    <xf numFmtId="0" fontId="51" fillId="9" borderId="0" xfId="0" applyFont="1" applyFill="1"/>
    <xf numFmtId="0" fontId="37" fillId="13" borderId="0" xfId="0" applyFont="1" applyFill="1"/>
    <xf numFmtId="1" fontId="30" fillId="13" borderId="51" xfId="2" applyNumberFormat="1" applyFont="1" applyFill="1" applyBorder="1" applyAlignment="1" applyProtection="1">
      <alignment horizontal="right"/>
      <protection hidden="1"/>
    </xf>
    <xf numFmtId="0" fontId="2" fillId="0" borderId="0" xfId="2"/>
    <xf numFmtId="0" fontId="30" fillId="14" borderId="11" xfId="0" applyFont="1" applyFill="1" applyBorder="1" applyProtection="1">
      <protection hidden="1"/>
    </xf>
    <xf numFmtId="1" fontId="2" fillId="0" borderId="0" xfId="2" applyNumberFormat="1"/>
    <xf numFmtId="0" fontId="2" fillId="9" borderId="0" xfId="2" applyFill="1" applyAlignment="1">
      <alignment horizontal="left"/>
    </xf>
    <xf numFmtId="2" fontId="46" fillId="0" borderId="0" xfId="2" applyNumberFormat="1" applyFont="1"/>
    <xf numFmtId="0" fontId="46" fillId="0" borderId="0" xfId="2" applyFont="1"/>
    <xf numFmtId="0" fontId="30" fillId="14" borderId="73" xfId="2" applyFont="1" applyFill="1" applyBorder="1" applyAlignment="1" applyProtection="1">
      <alignment horizontal="center" wrapText="1"/>
      <protection hidden="1"/>
    </xf>
    <xf numFmtId="0" fontId="30" fillId="14" borderId="0" xfId="2" applyFont="1" applyFill="1" applyAlignment="1" applyProtection="1">
      <alignment horizontal="center" wrapText="1"/>
      <protection hidden="1"/>
    </xf>
    <xf numFmtId="0" fontId="52" fillId="18" borderId="0" xfId="2" applyFont="1" applyFill="1"/>
    <xf numFmtId="2" fontId="2" fillId="0" borderId="0" xfId="2" applyNumberFormat="1"/>
    <xf numFmtId="49" fontId="2" fillId="0" borderId="0" xfId="2" applyNumberFormat="1"/>
    <xf numFmtId="0" fontId="52" fillId="0" borderId="0" xfId="2" applyFont="1"/>
    <xf numFmtId="0" fontId="52" fillId="18" borderId="71" xfId="2" applyFont="1" applyFill="1" applyBorder="1"/>
    <xf numFmtId="0" fontId="53" fillId="18" borderId="65" xfId="2" applyFont="1" applyFill="1" applyBorder="1"/>
    <xf numFmtId="0" fontId="54" fillId="0" borderId="0" xfId="2" applyFont="1"/>
    <xf numFmtId="0" fontId="2" fillId="0" borderId="0" xfId="2" applyAlignment="1">
      <alignment horizontal="center"/>
    </xf>
    <xf numFmtId="0" fontId="29" fillId="13" borderId="0" xfId="0" applyFont="1" applyFill="1" applyAlignment="1" applyProtection="1">
      <alignment horizontal="center"/>
      <protection hidden="1"/>
    </xf>
    <xf numFmtId="0" fontId="3" fillId="19" borderId="50" xfId="0" applyFont="1" applyFill="1" applyBorder="1" applyAlignment="1" applyProtection="1">
      <alignment horizontal="center" wrapText="1"/>
      <protection hidden="1"/>
    </xf>
    <xf numFmtId="0" fontId="3" fillId="19" borderId="48" xfId="0" applyFont="1" applyFill="1" applyBorder="1" applyAlignment="1" applyProtection="1">
      <alignment horizontal="center" wrapText="1"/>
      <protection hidden="1"/>
    </xf>
    <xf numFmtId="0" fontId="5" fillId="19" borderId="48" xfId="0" applyFont="1" applyFill="1" applyBorder="1" applyAlignment="1" applyProtection="1">
      <alignment horizontal="center"/>
      <protection hidden="1"/>
    </xf>
    <xf numFmtId="0" fontId="0" fillId="19" borderId="30" xfId="0" applyFill="1" applyBorder="1" applyAlignment="1">
      <alignment horizontal="center" vertical="top"/>
    </xf>
    <xf numFmtId="0" fontId="0" fillId="19" borderId="0" xfId="0" applyFill="1"/>
    <xf numFmtId="0" fontId="0" fillId="19" borderId="0" xfId="0" applyFill="1" applyAlignment="1">
      <alignment horizontal="center" vertical="top"/>
    </xf>
    <xf numFmtId="0" fontId="0" fillId="19" borderId="0" xfId="0" applyFill="1" applyAlignment="1">
      <alignment horizontal="left" vertical="top"/>
    </xf>
    <xf numFmtId="0" fontId="0" fillId="19" borderId="29" xfId="0" applyFill="1" applyBorder="1" applyProtection="1">
      <protection hidden="1"/>
    </xf>
    <xf numFmtId="0" fontId="0" fillId="19" borderId="31" xfId="0" applyFill="1" applyBorder="1" applyAlignment="1">
      <alignment horizontal="center" vertical="top"/>
    </xf>
    <xf numFmtId="0" fontId="0" fillId="19" borderId="49" xfId="0" applyFill="1" applyBorder="1" applyAlignment="1">
      <alignment horizontal="center" vertical="top"/>
    </xf>
    <xf numFmtId="0" fontId="0" fillId="19" borderId="0" xfId="0" applyFill="1" applyAlignment="1">
      <alignment vertical="top"/>
    </xf>
    <xf numFmtId="0" fontId="45" fillId="7" borderId="0" xfId="0" applyFont="1" applyFill="1"/>
    <xf numFmtId="0" fontId="4" fillId="0" borderId="0" xfId="0" applyFont="1" applyAlignment="1">
      <alignment horizontal="center"/>
    </xf>
    <xf numFmtId="167" fontId="11" fillId="3" borderId="4" xfId="0" applyNumberFormat="1" applyFont="1" applyFill="1" applyBorder="1" applyProtection="1">
      <protection hidden="1"/>
    </xf>
    <xf numFmtId="167" fontId="5" fillId="3" borderId="4" xfId="0" applyNumberFormat="1" applyFont="1" applyFill="1" applyBorder="1" applyProtection="1">
      <protection hidden="1"/>
    </xf>
    <xf numFmtId="166" fontId="11" fillId="9" borderId="0" xfId="0" applyNumberFormat="1" applyFont="1" applyFill="1" applyProtection="1">
      <protection hidden="1"/>
    </xf>
    <xf numFmtId="166" fontId="11" fillId="9" borderId="0" xfId="0" applyNumberFormat="1" applyFont="1" applyFill="1"/>
    <xf numFmtId="166" fontId="0" fillId="4" borderId="7" xfId="0" applyNumberFormat="1" applyFill="1" applyBorder="1" applyProtection="1">
      <protection hidden="1"/>
    </xf>
    <xf numFmtId="0" fontId="4" fillId="9" borderId="0" xfId="0" applyFont="1" applyFill="1" applyAlignment="1">
      <alignment horizontal="center"/>
    </xf>
    <xf numFmtId="0" fontId="44" fillId="9" borderId="0" xfId="0" applyFont="1" applyFill="1" applyAlignment="1">
      <alignment horizontal="center"/>
    </xf>
    <xf numFmtId="0" fontId="44" fillId="9" borderId="0" xfId="0" applyFont="1" applyFill="1"/>
    <xf numFmtId="0" fontId="0" fillId="9" borderId="0" xfId="0" applyFill="1" applyAlignment="1">
      <alignment horizontal="justify"/>
    </xf>
    <xf numFmtId="0" fontId="55" fillId="11" borderId="0" xfId="0" applyFont="1" applyFill="1"/>
    <xf numFmtId="0" fontId="45" fillId="11" borderId="0" xfId="0" quotePrefix="1" applyFont="1" applyFill="1"/>
    <xf numFmtId="0" fontId="56" fillId="0" borderId="0" xfId="0" applyFont="1" applyAlignment="1">
      <alignment vertical="center"/>
    </xf>
    <xf numFmtId="0" fontId="57" fillId="0" borderId="0" xfId="0" applyFont="1" applyAlignment="1">
      <alignment vertical="center"/>
    </xf>
    <xf numFmtId="0" fontId="58" fillId="0" borderId="0" xfId="0" applyFont="1" applyAlignment="1">
      <alignment vertical="center"/>
    </xf>
    <xf numFmtId="0" fontId="56" fillId="0" borderId="0" xfId="0" applyFont="1" applyAlignment="1">
      <alignment vertical="center" wrapText="1"/>
    </xf>
    <xf numFmtId="0" fontId="58" fillId="0" borderId="0" xfId="0" applyFont="1" applyAlignment="1">
      <alignment vertical="center" wrapText="1"/>
    </xf>
    <xf numFmtId="0" fontId="56" fillId="0" borderId="68" xfId="0" applyFont="1" applyBorder="1" applyAlignment="1">
      <alignment vertical="center" wrapText="1"/>
    </xf>
    <xf numFmtId="0" fontId="58" fillId="0" borderId="69" xfId="0" applyFont="1" applyBorder="1" applyAlignment="1">
      <alignment vertical="center" wrapText="1"/>
    </xf>
    <xf numFmtId="0" fontId="58" fillId="0" borderId="70" xfId="0" applyFont="1" applyBorder="1" applyAlignment="1">
      <alignment vertical="center" wrapText="1"/>
    </xf>
    <xf numFmtId="0" fontId="57" fillId="0" borderId="0" xfId="0" applyFont="1" applyAlignment="1">
      <alignment vertical="center" wrapText="1"/>
    </xf>
    <xf numFmtId="0" fontId="0" fillId="0" borderId="28" xfId="0" applyBorder="1" applyAlignment="1" applyProtection="1">
      <alignment horizontal="justify"/>
      <protection locked="0"/>
    </xf>
    <xf numFmtId="0" fontId="1" fillId="0" borderId="0" xfId="2" applyFont="1"/>
    <xf numFmtId="0" fontId="28" fillId="15" borderId="51" xfId="0" applyFont="1" applyFill="1" applyBorder="1" applyAlignment="1">
      <alignment horizontal="left"/>
    </xf>
    <xf numFmtId="49" fontId="32" fillId="13" borderId="0" xfId="0" applyNumberFormat="1" applyFont="1" applyFill="1" applyAlignment="1">
      <alignment horizontal="center"/>
    </xf>
    <xf numFmtId="0" fontId="44" fillId="0" borderId="0" xfId="0" applyFont="1"/>
    <xf numFmtId="0" fontId="0" fillId="0" borderId="50" xfId="0" applyBorder="1"/>
    <xf numFmtId="0" fontId="0" fillId="0" borderId="48" xfId="0" applyBorder="1"/>
    <xf numFmtId="0" fontId="0" fillId="0" borderId="30" xfId="0" applyBorder="1"/>
    <xf numFmtId="0" fontId="0" fillId="0" borderId="29" xfId="0" applyBorder="1"/>
    <xf numFmtId="0" fontId="0" fillId="0" borderId="31" xfId="0" applyBorder="1"/>
    <xf numFmtId="0" fontId="0" fillId="0" borderId="49" xfId="0" applyBorder="1"/>
    <xf numFmtId="0" fontId="0" fillId="8" borderId="13" xfId="0" applyFill="1" applyBorder="1"/>
    <xf numFmtId="1" fontId="7" fillId="8" borderId="28" xfId="0" applyNumberFormat="1" applyFont="1" applyFill="1" applyBorder="1" applyAlignment="1" applyProtection="1">
      <alignment horizontal="center"/>
      <protection locked="0"/>
    </xf>
    <xf numFmtId="0" fontId="5" fillId="0" borderId="28" xfId="0" applyFont="1" applyBorder="1" applyAlignment="1" applyProtection="1">
      <alignment horizontal="justify"/>
      <protection locked="0"/>
    </xf>
    <xf numFmtId="0" fontId="3" fillId="19" borderId="30" xfId="0" applyFont="1" applyFill="1" applyBorder="1" applyAlignment="1" applyProtection="1">
      <alignment horizontal="center" wrapText="1"/>
      <protection hidden="1"/>
    </xf>
    <xf numFmtId="0" fontId="3" fillId="19" borderId="0" xfId="0" applyFont="1" applyFill="1" applyAlignment="1" applyProtection="1">
      <alignment horizontal="center" wrapText="1"/>
      <protection hidden="1"/>
    </xf>
    <xf numFmtId="0" fontId="5" fillId="19" borderId="0" xfId="0" applyFont="1" applyFill="1" applyAlignment="1" applyProtection="1">
      <alignment horizontal="center"/>
      <protection hidden="1"/>
    </xf>
    <xf numFmtId="0" fontId="0" fillId="9" borderId="35" xfId="0" applyFill="1" applyBorder="1"/>
    <xf numFmtId="169" fontId="0" fillId="0" borderId="37" xfId="0" applyNumberFormat="1" applyBorder="1" applyAlignment="1">
      <alignment horizontal="center"/>
    </xf>
    <xf numFmtId="0" fontId="15" fillId="9" borderId="0" xfId="0" applyFont="1" applyFill="1"/>
    <xf numFmtId="1" fontId="32" fillId="13" borderId="51" xfId="0" quotePrefix="1" applyNumberFormat="1" applyFont="1" applyFill="1" applyBorder="1"/>
    <xf numFmtId="0" fontId="16" fillId="9" borderId="0" xfId="0" applyFont="1" applyFill="1"/>
    <xf numFmtId="0" fontId="17" fillId="9" borderId="0" xfId="0" applyFont="1" applyFill="1"/>
    <xf numFmtId="0" fontId="18" fillId="9" borderId="0" xfId="0" applyFont="1" applyFill="1"/>
    <xf numFmtId="0" fontId="26" fillId="9" borderId="0" xfId="0" applyFont="1" applyFill="1"/>
    <xf numFmtId="0" fontId="12" fillId="9" borderId="0" xfId="0" applyFont="1" applyFill="1" applyAlignment="1">
      <alignment horizontal="right"/>
    </xf>
    <xf numFmtId="0" fontId="63" fillId="9" borderId="66" xfId="0" applyFont="1" applyFill="1" applyBorder="1" applyAlignment="1">
      <alignment vertical="center"/>
    </xf>
    <xf numFmtId="0" fontId="64" fillId="9" borderId="1" xfId="0" applyFont="1" applyFill="1" applyBorder="1"/>
    <xf numFmtId="0" fontId="63" fillId="9" borderId="12" xfId="0" applyFont="1" applyFill="1" applyBorder="1" applyAlignment="1">
      <alignment vertical="center"/>
    </xf>
    <xf numFmtId="0" fontId="63" fillId="9" borderId="66" xfId="0" applyFont="1" applyFill="1" applyBorder="1"/>
    <xf numFmtId="0" fontId="63" fillId="9" borderId="1" xfId="0" applyFont="1" applyFill="1" applyBorder="1"/>
    <xf numFmtId="0" fontId="65" fillId="9" borderId="1" xfId="0" applyFont="1" applyFill="1" applyBorder="1"/>
    <xf numFmtId="49" fontId="12" fillId="0" borderId="0" xfId="0" applyNumberFormat="1" applyFont="1" applyProtection="1">
      <protection locked="0"/>
    </xf>
    <xf numFmtId="0" fontId="12" fillId="2" borderId="0" xfId="0" applyFont="1" applyFill="1"/>
    <xf numFmtId="0" fontId="12" fillId="9" borderId="66" xfId="0" applyFont="1" applyFill="1" applyBorder="1"/>
    <xf numFmtId="0" fontId="12" fillId="9" borderId="6" xfId="0" applyFont="1" applyFill="1" applyBorder="1"/>
    <xf numFmtId="1" fontId="12" fillId="9" borderId="0" xfId="0" applyNumberFormat="1" applyFont="1" applyFill="1"/>
    <xf numFmtId="0" fontId="12" fillId="9" borderId="0" xfId="0" applyFont="1" applyFill="1" applyAlignment="1">
      <alignment vertical="center"/>
    </xf>
    <xf numFmtId="49" fontId="62" fillId="9" borderId="6" xfId="0" applyNumberFormat="1" applyFont="1" applyFill="1" applyBorder="1" applyAlignment="1">
      <alignment horizontal="left"/>
    </xf>
    <xf numFmtId="49" fontId="12" fillId="9" borderId="0" xfId="0" applyNumberFormat="1" applyFont="1" applyFill="1" applyAlignment="1">
      <alignment horizontal="left"/>
    </xf>
    <xf numFmtId="0" fontId="12" fillId="0" borderId="12" xfId="0" applyFont="1" applyBorder="1" applyAlignment="1" applyProtection="1">
      <alignment horizontal="left"/>
      <protection locked="0"/>
    </xf>
    <xf numFmtId="0" fontId="12" fillId="9" borderId="1" xfId="0" applyFont="1" applyFill="1" applyBorder="1"/>
    <xf numFmtId="0" fontId="12" fillId="9" borderId="11" xfId="0" applyFont="1" applyFill="1" applyBorder="1"/>
    <xf numFmtId="168" fontId="63" fillId="9" borderId="6" xfId="0" applyNumberFormat="1" applyFont="1" applyFill="1" applyBorder="1" applyAlignment="1">
      <alignment horizontal="center" vertical="center"/>
    </xf>
    <xf numFmtId="0" fontId="12" fillId="9" borderId="0" xfId="0" applyFont="1" applyFill="1" applyAlignment="1">
      <alignment horizontal="center" vertical="center"/>
    </xf>
    <xf numFmtId="0" fontId="12" fillId="9" borderId="12" xfId="0" applyFont="1" applyFill="1" applyBorder="1" applyAlignment="1">
      <alignment horizontal="left"/>
    </xf>
    <xf numFmtId="41" fontId="5" fillId="0" borderId="27" xfId="0" applyNumberFormat="1" applyFont="1" applyBorder="1" applyProtection="1">
      <protection hidden="1"/>
    </xf>
    <xf numFmtId="0" fontId="7" fillId="4" borderId="0" xfId="0" applyFont="1" applyFill="1" applyProtection="1">
      <protection hidden="1"/>
    </xf>
    <xf numFmtId="0" fontId="4" fillId="4" borderId="0" xfId="0" applyFont="1" applyFill="1" applyProtection="1">
      <protection hidden="1"/>
    </xf>
    <xf numFmtId="0" fontId="11" fillId="4" borderId="0" xfId="0" applyFont="1" applyFill="1" applyProtection="1">
      <protection hidden="1"/>
    </xf>
    <xf numFmtId="1" fontId="32" fillId="13" borderId="51" xfId="0" applyNumberFormat="1" applyFont="1" applyFill="1" applyBorder="1" applyAlignment="1">
      <alignment horizontal="center"/>
    </xf>
    <xf numFmtId="1" fontId="2" fillId="17" borderId="3" xfId="2" applyNumberFormat="1" applyFill="1" applyBorder="1" applyAlignment="1" applyProtection="1">
      <alignment horizontal="center"/>
      <protection hidden="1"/>
    </xf>
    <xf numFmtId="0" fontId="5" fillId="19" borderId="29" xfId="0" applyFont="1" applyFill="1" applyBorder="1" applyProtection="1">
      <protection hidden="1"/>
    </xf>
    <xf numFmtId="0" fontId="0" fillId="9" borderId="50" xfId="0" applyFill="1" applyBorder="1" applyAlignment="1">
      <alignment horizontal="centerContinuous"/>
    </xf>
    <xf numFmtId="0" fontId="0" fillId="9" borderId="48" xfId="0" applyFill="1" applyBorder="1" applyAlignment="1">
      <alignment horizontal="centerContinuous"/>
    </xf>
    <xf numFmtId="0" fontId="66" fillId="9" borderId="76" xfId="0" applyFont="1" applyFill="1" applyBorder="1" applyAlignment="1">
      <alignment vertical="center" wrapText="1"/>
    </xf>
    <xf numFmtId="6" fontId="66" fillId="9" borderId="48" xfId="0" applyNumberFormat="1" applyFont="1" applyFill="1" applyBorder="1" applyAlignment="1">
      <alignment vertical="center" wrapText="1"/>
    </xf>
    <xf numFmtId="6" fontId="66" fillId="9" borderId="0" xfId="0" applyNumberFormat="1" applyFont="1" applyFill="1" applyAlignment="1">
      <alignment vertical="center" wrapText="1"/>
    </xf>
    <xf numFmtId="0" fontId="66" fillId="9" borderId="0" xfId="0" applyFont="1" applyFill="1" applyAlignment="1">
      <alignment vertical="center"/>
    </xf>
    <xf numFmtId="0" fontId="67" fillId="9" borderId="0" xfId="0" applyFont="1" applyFill="1" applyAlignment="1">
      <alignment vertical="center" wrapText="1"/>
    </xf>
    <xf numFmtId="0" fontId="72" fillId="9" borderId="0" xfId="0" applyFont="1" applyFill="1" applyAlignment="1">
      <alignment vertical="center" wrapText="1"/>
    </xf>
    <xf numFmtId="6" fontId="66" fillId="9" borderId="0" xfId="0" applyNumberFormat="1" applyFont="1" applyFill="1" applyAlignment="1">
      <alignment horizontal="right" vertical="center"/>
    </xf>
    <xf numFmtId="0" fontId="68" fillId="9" borderId="0" xfId="0" applyFont="1" applyFill="1" applyAlignment="1">
      <alignment vertical="center"/>
    </xf>
    <xf numFmtId="6" fontId="66" fillId="9" borderId="0" xfId="0" applyNumberFormat="1" applyFont="1" applyFill="1" applyAlignment="1">
      <alignment vertical="center"/>
    </xf>
    <xf numFmtId="0" fontId="71" fillId="9" borderId="36" xfId="0" applyFont="1" applyFill="1" applyBorder="1" applyAlignment="1">
      <alignment horizontal="center" vertical="center" wrapText="1"/>
    </xf>
    <xf numFmtId="0" fontId="67" fillId="9" borderId="78" xfId="0" applyFont="1" applyFill="1" applyBorder="1" applyAlignment="1">
      <alignment vertical="center" wrapText="1"/>
    </xf>
    <xf numFmtId="0" fontId="67" fillId="9" borderId="32" xfId="0" applyFont="1" applyFill="1" applyBorder="1" applyAlignment="1">
      <alignment vertical="center" wrapText="1"/>
    </xf>
    <xf numFmtId="0" fontId="69" fillId="9" borderId="50" xfId="0" applyFont="1" applyFill="1" applyBorder="1" applyAlignment="1">
      <alignment vertical="center" wrapText="1"/>
    </xf>
    <xf numFmtId="0" fontId="67" fillId="9" borderId="48" xfId="0" applyFont="1" applyFill="1" applyBorder="1" applyAlignment="1">
      <alignment vertical="center" wrapText="1"/>
    </xf>
    <xf numFmtId="0" fontId="69" fillId="9" borderId="30" xfId="0" applyFont="1" applyFill="1" applyBorder="1" applyAlignment="1">
      <alignment vertical="center" wrapText="1"/>
    </xf>
    <xf numFmtId="6" fontId="67" fillId="9" borderId="29" xfId="0" applyNumberFormat="1" applyFont="1" applyFill="1" applyBorder="1" applyAlignment="1">
      <alignment vertical="center" wrapText="1"/>
    </xf>
    <xf numFmtId="6" fontId="67" fillId="9" borderId="0" xfId="0" applyNumberFormat="1" applyFont="1" applyFill="1" applyAlignment="1">
      <alignment vertical="center" wrapText="1"/>
    </xf>
    <xf numFmtId="6" fontId="66" fillId="9" borderId="80" xfId="0" applyNumberFormat="1" applyFont="1" applyFill="1" applyBorder="1" applyAlignment="1">
      <alignment vertical="center" wrapText="1"/>
    </xf>
    <xf numFmtId="6" fontId="66" fillId="9" borderId="81" xfId="0" applyNumberFormat="1" applyFont="1" applyFill="1" applyBorder="1" applyAlignment="1">
      <alignment vertical="center" wrapText="1"/>
    </xf>
    <xf numFmtId="0" fontId="5" fillId="9" borderId="82" xfId="0" applyFont="1" applyFill="1" applyBorder="1"/>
    <xf numFmtId="6" fontId="66" fillId="9" borderId="11" xfId="0" applyNumberFormat="1" applyFont="1" applyFill="1" applyBorder="1" applyAlignment="1">
      <alignment vertical="center" wrapText="1"/>
    </xf>
    <xf numFmtId="6" fontId="66" fillId="9" borderId="12" xfId="0" applyNumberFormat="1" applyFont="1" applyFill="1" applyBorder="1" applyAlignment="1">
      <alignment vertical="center" wrapText="1"/>
    </xf>
    <xf numFmtId="0" fontId="73" fillId="9" borderId="83" xfId="0" applyFont="1" applyFill="1" applyBorder="1" applyAlignment="1">
      <alignment vertical="center" wrapText="1"/>
    </xf>
    <xf numFmtId="0" fontId="73" fillId="9" borderId="84" xfId="0" applyFont="1" applyFill="1" applyBorder="1" applyAlignment="1">
      <alignment vertical="center" wrapText="1"/>
    </xf>
    <xf numFmtId="0" fontId="66" fillId="9" borderId="48" xfId="0" applyFont="1" applyFill="1" applyBorder="1" applyAlignment="1">
      <alignment horizontal="right" vertical="center" wrapText="1"/>
    </xf>
    <xf numFmtId="170" fontId="66" fillId="9" borderId="0" xfId="0" applyNumberFormat="1" applyFont="1" applyFill="1" applyAlignment="1">
      <alignment vertical="center" wrapText="1"/>
    </xf>
    <xf numFmtId="0" fontId="66" fillId="9" borderId="0" xfId="0" applyFont="1" applyFill="1" applyAlignment="1">
      <alignment horizontal="right" vertical="center" wrapText="1"/>
    </xf>
    <xf numFmtId="1" fontId="11" fillId="9" borderId="0" xfId="0" applyNumberFormat="1" applyFont="1" applyFill="1" applyAlignment="1">
      <alignment horizontal="center"/>
    </xf>
    <xf numFmtId="6" fontId="66" fillId="9" borderId="0" xfId="0" applyNumberFormat="1" applyFont="1" applyFill="1" applyAlignment="1">
      <alignment horizontal="center" vertical="center"/>
    </xf>
    <xf numFmtId="0" fontId="0" fillId="4" borderId="0" xfId="0" applyFill="1" applyAlignment="1" applyProtection="1">
      <alignment horizontal="left"/>
      <protection hidden="1"/>
    </xf>
    <xf numFmtId="2" fontId="0" fillId="4" borderId="0" xfId="0" applyNumberFormat="1" applyFill="1" applyAlignment="1" applyProtection="1">
      <alignment horizontal="left"/>
      <protection hidden="1"/>
    </xf>
    <xf numFmtId="0" fontId="5" fillId="4" borderId="82" xfId="0" applyFont="1" applyFill="1" applyBorder="1" applyProtection="1">
      <protection hidden="1"/>
    </xf>
    <xf numFmtId="0" fontId="5" fillId="4" borderId="77" xfId="0" applyFont="1" applyFill="1" applyBorder="1" applyProtection="1">
      <protection hidden="1"/>
    </xf>
    <xf numFmtId="0" fontId="0" fillId="4" borderId="77" xfId="0" applyFill="1" applyBorder="1" applyProtection="1">
      <protection hidden="1"/>
    </xf>
    <xf numFmtId="0" fontId="5" fillId="4" borderId="76" xfId="0" applyFont="1" applyFill="1" applyBorder="1" applyProtection="1">
      <protection hidden="1"/>
    </xf>
    <xf numFmtId="0" fontId="5" fillId="4" borderId="82" xfId="0" applyFont="1" applyFill="1" applyBorder="1" applyAlignment="1" applyProtection="1">
      <alignment wrapText="1"/>
      <protection hidden="1"/>
    </xf>
    <xf numFmtId="0" fontId="5" fillId="4" borderId="77" xfId="0" applyFont="1" applyFill="1" applyBorder="1" applyAlignment="1" applyProtection="1">
      <alignment wrapText="1"/>
      <protection hidden="1"/>
    </xf>
    <xf numFmtId="170" fontId="66" fillId="10" borderId="70" xfId="0" applyNumberFormat="1" applyFont="1" applyFill="1" applyBorder="1" applyAlignment="1" applyProtection="1">
      <alignment vertical="center" wrapText="1"/>
      <protection locked="0"/>
    </xf>
    <xf numFmtId="170" fontId="66" fillId="10" borderId="65" xfId="0" applyNumberFormat="1" applyFont="1" applyFill="1" applyBorder="1" applyAlignment="1" applyProtection="1">
      <alignment vertical="center" wrapText="1"/>
      <protection locked="0"/>
    </xf>
    <xf numFmtId="170" fontId="66" fillId="10" borderId="79" xfId="0" applyNumberFormat="1" applyFont="1" applyFill="1" applyBorder="1" applyAlignment="1" applyProtection="1">
      <alignment vertical="center" wrapText="1"/>
      <protection locked="0"/>
    </xf>
    <xf numFmtId="0" fontId="5" fillId="10" borderId="28" xfId="0" applyFont="1" applyFill="1" applyBorder="1" applyProtection="1">
      <protection locked="0"/>
    </xf>
    <xf numFmtId="0" fontId="0" fillId="10" borderId="0" xfId="0" applyFill="1"/>
    <xf numFmtId="1" fontId="11" fillId="9" borderId="0" xfId="0" quotePrefix="1" applyNumberFormat="1" applyFont="1" applyFill="1" applyAlignment="1">
      <alignment horizontal="center"/>
    </xf>
    <xf numFmtId="1" fontId="11" fillId="9" borderId="0" xfId="0" quotePrefix="1" applyNumberFormat="1" applyFont="1" applyFill="1" applyProtection="1">
      <protection hidden="1"/>
    </xf>
    <xf numFmtId="0" fontId="5" fillId="9" borderId="75" xfId="0" quotePrefix="1" applyFont="1" applyFill="1" applyBorder="1"/>
    <xf numFmtId="0" fontId="0" fillId="9" borderId="75" xfId="0" applyFill="1" applyBorder="1"/>
    <xf numFmtId="1" fontId="11" fillId="10" borderId="12" xfId="0" applyNumberFormat="1" applyFont="1" applyFill="1" applyBorder="1" applyProtection="1">
      <protection locked="0"/>
    </xf>
    <xf numFmtId="0" fontId="28" fillId="13" borderId="51" xfId="0" applyFont="1" applyFill="1" applyBorder="1" applyAlignment="1" applyProtection="1">
      <alignment horizontal="left"/>
      <protection locked="0"/>
    </xf>
    <xf numFmtId="0" fontId="12" fillId="9" borderId="1" xfId="0" applyFont="1" applyFill="1" applyBorder="1" applyAlignment="1">
      <alignment vertical="top"/>
    </xf>
    <xf numFmtId="3" fontId="5" fillId="0" borderId="27" xfId="0" applyNumberFormat="1" applyFont="1" applyBorder="1" applyProtection="1">
      <protection hidden="1"/>
    </xf>
    <xf numFmtId="1" fontId="11" fillId="9" borderId="0" xfId="0" quotePrefix="1" applyNumberFormat="1" applyFont="1" applyFill="1"/>
    <xf numFmtId="0" fontId="0" fillId="4" borderId="3" xfId="0" applyFill="1" applyBorder="1" applyAlignment="1" applyProtection="1">
      <alignment horizontal="centerContinuous"/>
      <protection hidden="1"/>
    </xf>
    <xf numFmtId="0" fontId="0" fillId="4" borderId="0" xfId="0" applyFill="1" applyAlignment="1" applyProtection="1">
      <alignment horizontal="center"/>
      <protection hidden="1"/>
    </xf>
    <xf numFmtId="0" fontId="0" fillId="4" borderId="94" xfId="0" applyFill="1" applyBorder="1" applyAlignment="1" applyProtection="1">
      <alignment horizontal="center"/>
      <protection hidden="1"/>
    </xf>
    <xf numFmtId="0" fontId="0" fillId="4" borderId="95" xfId="0" applyFill="1" applyBorder="1" applyAlignment="1" applyProtection="1">
      <alignment horizontal="center"/>
      <protection hidden="1"/>
    </xf>
    <xf numFmtId="0" fontId="5" fillId="4" borderId="0" xfId="0" quotePrefix="1" applyFont="1" applyFill="1" applyProtection="1">
      <protection hidden="1"/>
    </xf>
    <xf numFmtId="0" fontId="5" fillId="21" borderId="0" xfId="0" applyFont="1" applyFill="1" applyProtection="1">
      <protection locked="0"/>
    </xf>
    <xf numFmtId="1" fontId="5" fillId="6" borderId="37" xfId="0" applyNumberFormat="1" applyFont="1" applyFill="1" applyBorder="1" applyProtection="1">
      <protection locked="0"/>
    </xf>
    <xf numFmtId="0" fontId="5" fillId="7" borderId="0" xfId="0" applyFont="1" applyFill="1" applyAlignment="1">
      <alignment vertical="top" wrapText="1"/>
    </xf>
    <xf numFmtId="0" fontId="5" fillId="19" borderId="29" xfId="0" applyFont="1" applyFill="1" applyBorder="1" applyAlignment="1" applyProtection="1">
      <alignment vertical="top"/>
      <protection hidden="1"/>
    </xf>
    <xf numFmtId="0" fontId="0" fillId="19" borderId="97" xfId="0" applyFill="1" applyBorder="1" applyProtection="1">
      <protection hidden="1"/>
    </xf>
    <xf numFmtId="0" fontId="0" fillId="19" borderId="49" xfId="0" applyFill="1" applyBorder="1" applyAlignment="1">
      <alignment vertical="top"/>
    </xf>
    <xf numFmtId="0" fontId="0" fillId="19" borderId="96" xfId="0" applyFill="1" applyBorder="1" applyAlignment="1">
      <alignment horizontal="left" vertical="top"/>
    </xf>
    <xf numFmtId="14" fontId="66" fillId="9" borderId="36" xfId="0" applyNumberFormat="1" applyFont="1" applyFill="1" applyBorder="1" applyAlignment="1">
      <alignment horizontal="left" vertical="top" wrapText="1"/>
    </xf>
    <xf numFmtId="14" fontId="0" fillId="9" borderId="0" xfId="0" applyNumberFormat="1" applyFill="1"/>
    <xf numFmtId="0" fontId="62" fillId="9" borderId="66" xfId="0" applyFont="1" applyFill="1" applyBorder="1"/>
    <xf numFmtId="0" fontId="12" fillId="2" borderId="66" xfId="0" applyFont="1" applyFill="1" applyBorder="1"/>
    <xf numFmtId="49" fontId="1" fillId="0" borderId="0" xfId="2" applyNumberFormat="1" applyFont="1"/>
    <xf numFmtId="0" fontId="1" fillId="0" borderId="0" xfId="2" applyFont="1" applyAlignment="1">
      <alignment horizontal="center"/>
    </xf>
    <xf numFmtId="0" fontId="7" fillId="7" borderId="0" xfId="0" applyFont="1" applyFill="1"/>
    <xf numFmtId="0" fontId="0" fillId="0" borderId="96" xfId="0" applyBorder="1"/>
    <xf numFmtId="0" fontId="67" fillId="9" borderId="96" xfId="0" applyFont="1" applyFill="1" applyBorder="1" applyAlignment="1">
      <alignment vertical="center" wrapText="1"/>
    </xf>
    <xf numFmtId="0" fontId="0" fillId="5" borderId="99" xfId="0" applyFill="1" applyBorder="1" applyProtection="1">
      <protection hidden="1"/>
    </xf>
    <xf numFmtId="0" fontId="13" fillId="5" borderId="100" xfId="0" applyFont="1" applyFill="1" applyBorder="1" applyProtection="1">
      <protection hidden="1"/>
    </xf>
    <xf numFmtId="0" fontId="0" fillId="5" borderId="101" xfId="0" applyFill="1" applyBorder="1" applyProtection="1">
      <protection hidden="1"/>
    </xf>
    <xf numFmtId="0" fontId="5" fillId="3" borderId="102" xfId="0" applyFont="1" applyFill="1" applyBorder="1" applyProtection="1">
      <protection hidden="1"/>
    </xf>
    <xf numFmtId="0" fontId="12" fillId="9" borderId="98" xfId="0" applyFont="1" applyFill="1" applyBorder="1"/>
    <xf numFmtId="0" fontId="8" fillId="2" borderId="98" xfId="0" applyFont="1" applyFill="1" applyBorder="1" applyProtection="1">
      <protection hidden="1"/>
    </xf>
    <xf numFmtId="41" fontId="5" fillId="6" borderId="104" xfId="0" applyNumberFormat="1" applyFont="1" applyFill="1" applyBorder="1"/>
    <xf numFmtId="2" fontId="5" fillId="6" borderId="104" xfId="0" applyNumberFormat="1" applyFont="1" applyFill="1" applyBorder="1" applyAlignment="1">
      <alignment horizontal="center"/>
    </xf>
    <xf numFmtId="6" fontId="66" fillId="9" borderId="105" xfId="0" applyNumberFormat="1" applyFont="1" applyFill="1" applyBorder="1" applyAlignment="1">
      <alignment vertical="center" wrapText="1"/>
    </xf>
    <xf numFmtId="6" fontId="66" fillId="9" borderId="106" xfId="0" applyNumberFormat="1" applyFont="1" applyFill="1" applyBorder="1" applyAlignment="1">
      <alignment vertical="center" wrapText="1"/>
    </xf>
    <xf numFmtId="0" fontId="30" fillId="14" borderId="108" xfId="2" applyFont="1" applyFill="1" applyBorder="1" applyAlignment="1" applyProtection="1">
      <alignment horizontal="center" wrapText="1"/>
      <protection hidden="1"/>
    </xf>
    <xf numFmtId="0" fontId="2" fillId="9" borderId="6" xfId="2" applyFill="1" applyBorder="1" applyAlignment="1">
      <alignment horizontal="left"/>
    </xf>
    <xf numFmtId="0" fontId="2" fillId="9" borderId="0" xfId="2" applyFill="1" applyAlignment="1">
      <alignment horizontal="left"/>
    </xf>
    <xf numFmtId="0" fontId="2" fillId="0" borderId="3" xfId="2" applyBorder="1" applyAlignment="1">
      <alignment horizontal="center"/>
    </xf>
    <xf numFmtId="0" fontId="3" fillId="22" borderId="0" xfId="0" applyFont="1" applyFill="1" applyAlignment="1">
      <alignment horizontal="left" vertical="top" wrapText="1"/>
    </xf>
    <xf numFmtId="0" fontId="12" fillId="0" borderId="85" xfId="0" applyFont="1" applyBorder="1" applyAlignment="1" applyProtection="1">
      <alignment vertical="center"/>
      <protection locked="0"/>
    </xf>
    <xf numFmtId="0" fontId="12" fillId="0" borderId="66" xfId="0" applyFont="1" applyBorder="1" applyAlignment="1" applyProtection="1">
      <alignment vertical="top"/>
      <protection locked="0"/>
    </xf>
    <xf numFmtId="0" fontId="12" fillId="0" borderId="87" xfId="0" applyFont="1" applyBorder="1" applyAlignment="1" applyProtection="1">
      <alignment vertical="top"/>
      <protection locked="0"/>
    </xf>
    <xf numFmtId="0" fontId="12" fillId="0" borderId="92" xfId="0" applyFont="1" applyBorder="1" applyAlignment="1" applyProtection="1">
      <alignment vertical="top"/>
      <protection locked="0"/>
    </xf>
    <xf numFmtId="0" fontId="12" fillId="0" borderId="12" xfId="0" applyFont="1" applyBorder="1" applyAlignment="1" applyProtection="1">
      <alignment vertical="top"/>
      <protection locked="0"/>
    </xf>
    <xf numFmtId="0" fontId="12" fillId="0" borderId="93" xfId="0" applyFont="1" applyBorder="1" applyAlignment="1" applyProtection="1">
      <alignment vertical="top"/>
      <protection locked="0"/>
    </xf>
    <xf numFmtId="0" fontId="12" fillId="0" borderId="90" xfId="0" applyFont="1" applyBorder="1" applyAlignment="1" applyProtection="1">
      <alignment horizontal="left"/>
      <protection locked="0"/>
    </xf>
    <xf numFmtId="49" fontId="12" fillId="10" borderId="12" xfId="0" applyNumberFormat="1" applyFont="1" applyFill="1" applyBorder="1" applyAlignment="1" applyProtection="1">
      <alignment horizontal="center"/>
      <protection locked="0"/>
    </xf>
    <xf numFmtId="14" fontId="62" fillId="9" borderId="1" xfId="0" applyNumberFormat="1" applyFont="1" applyFill="1" applyBorder="1" applyAlignment="1">
      <alignment horizontal="left"/>
    </xf>
    <xf numFmtId="0" fontId="62" fillId="9" borderId="1" xfId="0" applyFont="1" applyFill="1" applyBorder="1" applyAlignment="1">
      <alignment horizontal="left"/>
    </xf>
    <xf numFmtId="49" fontId="12" fillId="0" borderId="13" xfId="0" applyNumberFormat="1" applyFont="1" applyBorder="1" applyAlignment="1" applyProtection="1">
      <alignment horizontal="left"/>
      <protection locked="0"/>
    </xf>
    <xf numFmtId="0" fontId="12" fillId="0" borderId="13" xfId="0" applyFont="1" applyBorder="1" applyAlignment="1" applyProtection="1">
      <alignment horizontal="left"/>
      <protection locked="0"/>
    </xf>
    <xf numFmtId="0" fontId="11" fillId="9" borderId="0" xfId="0" applyFont="1" applyFill="1" applyAlignment="1">
      <alignment vertical="center"/>
    </xf>
    <xf numFmtId="0" fontId="0" fillId="0" borderId="0" xfId="0" applyAlignment="1">
      <alignment vertical="center"/>
    </xf>
    <xf numFmtId="49" fontId="5"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2" fontId="11" fillId="9" borderId="0" xfId="0" applyNumberFormat="1" applyFont="1" applyFill="1" applyAlignment="1">
      <alignment wrapText="1"/>
    </xf>
    <xf numFmtId="0" fontId="0" fillId="9" borderId="0" xfId="0" applyFill="1" applyAlignment="1">
      <alignment wrapText="1"/>
    </xf>
    <xf numFmtId="0" fontId="12" fillId="9" borderId="2" xfId="0" applyFont="1" applyFill="1" applyBorder="1" applyAlignment="1">
      <alignment horizontal="right"/>
    </xf>
    <xf numFmtId="0" fontId="0" fillId="9" borderId="2" xfId="0" applyFill="1" applyBorder="1" applyAlignment="1">
      <alignment horizontal="right"/>
    </xf>
    <xf numFmtId="1" fontId="12" fillId="0" borderId="88" xfId="0" applyNumberFormat="1" applyFont="1" applyBorder="1" applyAlignment="1" applyProtection="1">
      <alignment horizontal="left"/>
      <protection locked="0"/>
    </xf>
    <xf numFmtId="0" fontId="12" fillId="0" borderId="1" xfId="0" applyFont="1" applyBorder="1" applyAlignment="1" applyProtection="1">
      <alignment horizontal="left"/>
      <protection locked="0"/>
    </xf>
    <xf numFmtId="0" fontId="12" fillId="0" borderId="0" xfId="0" applyFont="1" applyAlignment="1" applyProtection="1">
      <alignment horizontal="center"/>
      <protection locked="0"/>
    </xf>
    <xf numFmtId="168" fontId="63" fillId="0" borderId="13" xfId="0" applyNumberFormat="1" applyFont="1" applyBorder="1" applyAlignment="1" applyProtection="1">
      <alignment horizontal="center" vertical="center"/>
      <protection locked="0"/>
    </xf>
    <xf numFmtId="0" fontId="11" fillId="9" borderId="0" xfId="0" quotePrefix="1" applyFont="1" applyFill="1" applyAlignment="1">
      <alignment horizontal="left" vertical="center"/>
    </xf>
    <xf numFmtId="0" fontId="0" fillId="0" borderId="0" xfId="0" applyAlignment="1">
      <alignment horizontal="left" vertical="center"/>
    </xf>
    <xf numFmtId="0" fontId="12" fillId="3" borderId="10" xfId="0" applyFont="1" applyFill="1" applyBorder="1" applyAlignment="1" applyProtection="1">
      <alignment horizontal="center"/>
      <protection hidden="1"/>
    </xf>
    <xf numFmtId="0" fontId="7" fillId="3" borderId="10" xfId="0" applyFont="1" applyFill="1" applyBorder="1" applyAlignment="1" applyProtection="1">
      <alignment horizontal="center"/>
      <protection hidden="1"/>
    </xf>
    <xf numFmtId="0" fontId="7" fillId="3" borderId="46" xfId="0" applyFont="1" applyFill="1" applyBorder="1" applyAlignment="1" applyProtection="1">
      <alignment horizontal="center"/>
      <protection hidden="1"/>
    </xf>
    <xf numFmtId="0" fontId="12" fillId="3" borderId="45" xfId="0" applyFont="1" applyFill="1" applyBorder="1" applyAlignment="1" applyProtection="1">
      <alignment shrinkToFit="1"/>
      <protection hidden="1"/>
    </xf>
    <xf numFmtId="0" fontId="7" fillId="3" borderId="10" xfId="0" applyFont="1" applyFill="1" applyBorder="1" applyAlignment="1" applyProtection="1">
      <alignment shrinkToFit="1"/>
      <protection hidden="1"/>
    </xf>
    <xf numFmtId="0" fontId="12" fillId="0" borderId="0" xfId="0" applyFont="1" applyAlignment="1">
      <alignment horizontal="left"/>
    </xf>
    <xf numFmtId="0" fontId="11" fillId="3" borderId="6" xfId="0" applyFont="1" applyFill="1" applyBorder="1" applyAlignment="1" applyProtection="1">
      <alignment horizontal="center"/>
      <protection hidden="1"/>
    </xf>
    <xf numFmtId="0" fontId="7" fillId="4" borderId="0" xfId="0" applyFont="1" applyFill="1" applyAlignment="1" applyProtection="1">
      <alignment horizontal="center"/>
      <protection hidden="1"/>
    </xf>
    <xf numFmtId="0" fontId="17" fillId="19" borderId="0" xfId="0" applyFont="1" applyFill="1" applyAlignment="1" applyProtection="1">
      <alignment horizontal="center"/>
      <protection hidden="1"/>
    </xf>
    <xf numFmtId="0" fontId="70" fillId="9" borderId="30" xfId="0" applyFont="1" applyFill="1" applyBorder="1" applyAlignment="1">
      <alignment vertical="top" wrapText="1"/>
    </xf>
    <xf numFmtId="0" fontId="0" fillId="9" borderId="0" xfId="0" applyFill="1" applyAlignment="1">
      <alignment vertical="top" wrapText="1"/>
    </xf>
    <xf numFmtId="0" fontId="0" fillId="9" borderId="29" xfId="0" applyFill="1" applyBorder="1" applyAlignment="1">
      <alignment vertical="top" wrapText="1"/>
    </xf>
    <xf numFmtId="0" fontId="67" fillId="9" borderId="31" xfId="0" applyFont="1" applyFill="1" applyBorder="1" applyAlignment="1">
      <alignment vertical="top" wrapText="1"/>
    </xf>
    <xf numFmtId="0" fontId="0" fillId="9" borderId="49" xfId="0" applyFill="1" applyBorder="1" applyAlignment="1">
      <alignment vertical="top" wrapText="1"/>
    </xf>
    <xf numFmtId="0" fontId="67" fillId="9" borderId="0" xfId="0" applyFont="1" applyFill="1" applyAlignment="1">
      <alignment vertical="center" wrapText="1"/>
    </xf>
    <xf numFmtId="0" fontId="0" fillId="0" borderId="0" xfId="0" applyAlignment="1">
      <alignment wrapText="1"/>
    </xf>
    <xf numFmtId="0" fontId="28" fillId="10" borderId="60" xfId="0" applyFont="1" applyFill="1" applyBorder="1" applyAlignment="1">
      <alignment horizontal="left"/>
    </xf>
    <xf numFmtId="0" fontId="28" fillId="10" borderId="61" xfId="0" applyFont="1" applyFill="1" applyBorder="1" applyAlignment="1">
      <alignment horizontal="left"/>
    </xf>
    <xf numFmtId="0" fontId="28" fillId="10" borderId="60" xfId="0" applyFont="1" applyFill="1" applyBorder="1" applyAlignment="1" applyProtection="1">
      <alignment horizontal="left"/>
      <protection locked="0"/>
    </xf>
    <xf numFmtId="0" fontId="28" fillId="10" borderId="61" xfId="0" applyFont="1" applyFill="1" applyBorder="1" applyAlignment="1" applyProtection="1">
      <alignment horizontal="left"/>
      <protection locked="0"/>
    </xf>
    <xf numFmtId="0" fontId="28" fillId="10" borderId="60" xfId="0" quotePrefix="1" applyFont="1" applyFill="1" applyBorder="1" applyAlignment="1">
      <alignment horizontal="left"/>
    </xf>
    <xf numFmtId="0" fontId="43" fillId="13" borderId="59" xfId="0" applyFont="1" applyFill="1" applyBorder="1" applyAlignment="1">
      <alignment horizontal="center" wrapText="1"/>
    </xf>
    <xf numFmtId="0" fontId="43" fillId="0" borderId="59" xfId="0" applyFont="1" applyBorder="1" applyAlignment="1">
      <alignment horizontal="center"/>
    </xf>
    <xf numFmtId="49" fontId="40" fillId="13" borderId="62" xfId="0" applyNumberFormat="1" applyFont="1" applyFill="1" applyBorder="1" applyAlignment="1">
      <alignment horizontal="left"/>
    </xf>
    <xf numFmtId="0" fontId="40" fillId="0" borderId="59" xfId="0" applyFont="1" applyBorder="1" applyAlignment="1">
      <alignment horizontal="left"/>
    </xf>
    <xf numFmtId="49" fontId="40" fillId="13" borderId="59" xfId="0" applyNumberFormat="1" applyFont="1" applyFill="1" applyBorder="1" applyAlignment="1">
      <alignment horizontal="left"/>
    </xf>
    <xf numFmtId="49" fontId="32" fillId="13" borderId="59" xfId="0" applyNumberFormat="1" applyFont="1" applyFill="1" applyBorder="1" applyAlignment="1">
      <alignment horizontal="left"/>
    </xf>
    <xf numFmtId="49" fontId="32" fillId="13" borderId="57" xfId="0" applyNumberFormat="1" applyFont="1" applyFill="1" applyBorder="1" applyAlignment="1">
      <alignment horizontal="left"/>
    </xf>
    <xf numFmtId="49" fontId="28" fillId="13" borderId="56" xfId="0" applyNumberFormat="1" applyFont="1" applyFill="1" applyBorder="1" applyAlignment="1">
      <alignment horizontal="left"/>
    </xf>
    <xf numFmtId="49" fontId="28" fillId="13" borderId="59" xfId="0" applyNumberFormat="1" applyFont="1" applyFill="1" applyBorder="1" applyAlignment="1">
      <alignment horizontal="left"/>
    </xf>
    <xf numFmtId="49" fontId="28" fillId="13" borderId="57" xfId="0" applyNumberFormat="1" applyFont="1" applyFill="1" applyBorder="1" applyAlignment="1">
      <alignment horizontal="left"/>
    </xf>
    <xf numFmtId="0" fontId="30" fillId="13" borderId="59" xfId="0" applyFont="1" applyFill="1" applyBorder="1" applyAlignment="1">
      <alignment horizontal="left"/>
    </xf>
    <xf numFmtId="0" fontId="0" fillId="0" borderId="59" xfId="0" applyBorder="1" applyAlignment="1">
      <alignment horizontal="left"/>
    </xf>
    <xf numFmtId="0" fontId="41" fillId="13" borderId="59" xfId="0" applyFont="1" applyFill="1" applyBorder="1" applyAlignment="1">
      <alignment horizontal="center" wrapText="1"/>
    </xf>
    <xf numFmtId="0" fontId="41" fillId="0" borderId="59" xfId="0" applyFont="1" applyBorder="1" applyAlignment="1">
      <alignment horizontal="center"/>
    </xf>
    <xf numFmtId="0" fontId="40" fillId="13" borderId="59" xfId="0" applyFont="1" applyFill="1" applyBorder="1" applyAlignment="1">
      <alignment wrapText="1"/>
    </xf>
    <xf numFmtId="0" fontId="30" fillId="14" borderId="54" xfId="0" applyFont="1" applyFill="1" applyBorder="1" applyAlignment="1">
      <alignment horizontal="left"/>
    </xf>
    <xf numFmtId="0" fontId="30" fillId="14" borderId="55" xfId="0" applyFont="1" applyFill="1" applyBorder="1" applyAlignment="1">
      <alignment horizontal="left"/>
    </xf>
    <xf numFmtId="0" fontId="28" fillId="13" borderId="0" xfId="0" applyFont="1" applyFill="1" applyAlignment="1">
      <alignment horizontal="left"/>
    </xf>
    <xf numFmtId="0" fontId="28" fillId="13" borderId="56" xfId="0" applyFont="1" applyFill="1" applyBorder="1" applyAlignment="1">
      <alignment horizontal="left"/>
    </xf>
    <xf numFmtId="0" fontId="28" fillId="13" borderId="57" xfId="0" applyFont="1" applyFill="1" applyBorder="1" applyAlignment="1">
      <alignment horizontal="left"/>
    </xf>
    <xf numFmtId="0" fontId="30" fillId="14" borderId="58" xfId="0" applyFont="1" applyFill="1" applyBorder="1" applyAlignment="1">
      <alignment horizontal="left"/>
    </xf>
    <xf numFmtId="0" fontId="28" fillId="13" borderId="56" xfId="0" applyFont="1" applyFill="1" applyBorder="1" applyAlignment="1" applyProtection="1">
      <alignment horizontal="left"/>
      <protection locked="0"/>
    </xf>
    <xf numFmtId="0" fontId="28" fillId="13" borderId="59" xfId="0" applyFont="1" applyFill="1" applyBorder="1" applyAlignment="1" applyProtection="1">
      <alignment horizontal="left"/>
      <protection locked="0"/>
    </xf>
    <xf numFmtId="0" fontId="28" fillId="13" borderId="57" xfId="0" applyFont="1" applyFill="1" applyBorder="1" applyAlignment="1" applyProtection="1">
      <alignment horizontal="left"/>
      <protection locked="0"/>
    </xf>
    <xf numFmtId="0" fontId="37" fillId="13" borderId="0" xfId="0" applyFont="1" applyFill="1" applyAlignment="1">
      <alignment horizontal="center"/>
    </xf>
    <xf numFmtId="0" fontId="28" fillId="13" borderId="0" xfId="0" applyFont="1" applyFill="1" applyAlignment="1">
      <alignment horizontal="center"/>
    </xf>
    <xf numFmtId="0" fontId="0" fillId="0" borderId="57" xfId="0" applyBorder="1" applyAlignment="1">
      <alignment horizontal="left"/>
    </xf>
    <xf numFmtId="0" fontId="40" fillId="13" borderId="59" xfId="0" applyFont="1" applyFill="1" applyBorder="1" applyAlignment="1">
      <alignment horizontal="center" wrapText="1"/>
    </xf>
    <xf numFmtId="0" fontId="40" fillId="0" borderId="59" xfId="0" applyFont="1" applyBorder="1" applyAlignment="1">
      <alignment horizontal="center"/>
    </xf>
    <xf numFmtId="1" fontId="28" fillId="0" borderId="56" xfId="0" applyNumberFormat="1" applyFont="1" applyBorder="1" applyAlignment="1">
      <alignment horizontal="left"/>
    </xf>
    <xf numFmtId="1" fontId="0" fillId="0" borderId="57" xfId="0" applyNumberFormat="1" applyBorder="1" applyAlignment="1">
      <alignment horizontal="left"/>
    </xf>
    <xf numFmtId="0" fontId="30" fillId="13" borderId="56" xfId="0" applyFont="1" applyFill="1" applyBorder="1" applyAlignment="1">
      <alignment horizontal="left"/>
    </xf>
    <xf numFmtId="0" fontId="30" fillId="14" borderId="54" xfId="0" applyFont="1" applyFill="1" applyBorder="1" applyAlignment="1">
      <alignment horizontal="left" wrapText="1"/>
    </xf>
    <xf numFmtId="0" fontId="30" fillId="14" borderId="58" xfId="0" applyFont="1" applyFill="1" applyBorder="1" applyAlignment="1">
      <alignment horizontal="left" wrapText="1"/>
    </xf>
    <xf numFmtId="0" fontId="30" fillId="14" borderId="55" xfId="0" applyFont="1" applyFill="1" applyBorder="1" applyAlignment="1">
      <alignment horizontal="left" wrapText="1"/>
    </xf>
    <xf numFmtId="0" fontId="28" fillId="13" borderId="59" xfId="0" applyFont="1" applyFill="1" applyBorder="1" applyAlignment="1">
      <alignment horizontal="left"/>
    </xf>
    <xf numFmtId="0" fontId="0" fillId="20" borderId="12" xfId="0" applyFill="1" applyBorder="1" applyAlignment="1">
      <alignment horizontal="left"/>
    </xf>
    <xf numFmtId="0" fontId="0" fillId="20" borderId="63" xfId="0" applyFill="1" applyBorder="1" applyAlignment="1">
      <alignment horizontal="left"/>
    </xf>
    <xf numFmtId="0" fontId="28" fillId="13" borderId="53" xfId="0" applyFont="1" applyFill="1" applyBorder="1" applyAlignment="1">
      <alignment horizontal="right"/>
    </xf>
    <xf numFmtId="0" fontId="31" fillId="13" borderId="0" xfId="0" applyFont="1" applyFill="1" applyAlignment="1">
      <alignment horizontal="left"/>
    </xf>
    <xf numFmtId="0" fontId="28" fillId="16" borderId="56" xfId="0" applyFont="1" applyFill="1" applyBorder="1" applyAlignment="1">
      <alignment horizontal="left"/>
    </xf>
    <xf numFmtId="0" fontId="28" fillId="16" borderId="57" xfId="0" applyFont="1" applyFill="1" applyBorder="1" applyAlignment="1">
      <alignment horizontal="left"/>
    </xf>
    <xf numFmtId="0" fontId="38" fillId="12" borderId="0" xfId="0" applyFont="1" applyFill="1" applyAlignment="1">
      <alignment horizontal="center"/>
    </xf>
    <xf numFmtId="0" fontId="38" fillId="12" borderId="12" xfId="0" applyFont="1" applyFill="1" applyBorder="1" applyAlignment="1">
      <alignment horizontal="center"/>
    </xf>
    <xf numFmtId="0" fontId="34" fillId="14" borderId="12" xfId="0" applyFont="1" applyFill="1" applyBorder="1" applyAlignment="1">
      <alignment horizontal="center"/>
    </xf>
    <xf numFmtId="0" fontId="34" fillId="14" borderId="15" xfId="0" applyFont="1" applyFill="1" applyBorder="1" applyAlignment="1">
      <alignment horizontal="center"/>
    </xf>
    <xf numFmtId="0" fontId="36" fillId="13" borderId="0" xfId="0" applyFont="1" applyFill="1" applyAlignment="1">
      <alignment horizontal="left"/>
    </xf>
    <xf numFmtId="0" fontId="30" fillId="14" borderId="105" xfId="2" applyFont="1" applyFill="1" applyBorder="1" applyAlignment="1" applyProtection="1">
      <alignment horizontal="center"/>
      <protection hidden="1"/>
    </xf>
    <xf numFmtId="0" fontId="30" fillId="14" borderId="107" xfId="2" applyFont="1" applyFill="1" applyBorder="1" applyAlignment="1" applyProtection="1">
      <alignment horizontal="center"/>
      <protection hidden="1"/>
    </xf>
    <xf numFmtId="0" fontId="16" fillId="9" borderId="1" xfId="0" applyFont="1" applyFill="1" applyBorder="1" applyAlignment="1"/>
    <xf numFmtId="0" fontId="17" fillId="9" borderId="1" xfId="0" applyFont="1" applyFill="1" applyBorder="1" applyAlignment="1"/>
    <xf numFmtId="0" fontId="18" fillId="9" borderId="1" xfId="0" applyFont="1" applyFill="1" applyBorder="1" applyAlignment="1"/>
    <xf numFmtId="0" fontId="0" fillId="9" borderId="1" xfId="0" applyFill="1" applyBorder="1" applyAlignment="1"/>
    <xf numFmtId="0" fontId="26" fillId="9" borderId="1" xfId="0" applyFont="1" applyFill="1" applyBorder="1" applyAlignment="1"/>
    <xf numFmtId="0" fontId="63" fillId="2" borderId="39" xfId="0" applyFont="1" applyFill="1" applyBorder="1" applyAlignment="1"/>
    <xf numFmtId="0" fontId="63" fillId="0" borderId="39" xfId="0" applyFont="1" applyBorder="1" applyAlignment="1"/>
    <xf numFmtId="0" fontId="12" fillId="0" borderId="39" xfId="0" applyFont="1" applyBorder="1" applyAlignment="1" applyProtection="1">
      <protection locked="0"/>
    </xf>
    <xf numFmtId="0" fontId="12" fillId="0" borderId="86" xfId="0" applyFont="1" applyBorder="1" applyAlignment="1" applyProtection="1">
      <protection locked="0"/>
    </xf>
    <xf numFmtId="0" fontId="12" fillId="2" borderId="38" xfId="0" applyFont="1" applyFill="1" applyBorder="1" applyAlignment="1"/>
    <xf numFmtId="0" fontId="12" fillId="0" borderId="38" xfId="0" applyFont="1" applyBorder="1" applyAlignment="1"/>
    <xf numFmtId="0" fontId="12" fillId="0" borderId="40" xfId="0" applyFont="1" applyBorder="1" applyAlignment="1"/>
    <xf numFmtId="0" fontId="63" fillId="9" borderId="0" xfId="0" applyFont="1" applyFill="1" applyAlignment="1"/>
    <xf numFmtId="0" fontId="12" fillId="0" borderId="106" xfId="0" applyFont="1" applyBorder="1" applyAlignment="1" applyProtection="1">
      <alignment horizontal="left"/>
      <protection locked="0"/>
    </xf>
    <xf numFmtId="0" fontId="12" fillId="0" borderId="106" xfId="0" applyFont="1" applyBorder="1" applyAlignment="1" applyProtection="1">
      <protection locked="0"/>
    </xf>
    <xf numFmtId="0" fontId="12" fillId="0" borderId="91" xfId="0" applyFont="1" applyBorder="1" applyAlignment="1" applyProtection="1">
      <protection locked="0"/>
    </xf>
    <xf numFmtId="0" fontId="12" fillId="0" borderId="109" xfId="0" applyFont="1" applyBorder="1" applyAlignment="1" applyProtection="1">
      <alignment horizontal="left" vertical="top" wrapText="1"/>
      <protection locked="0"/>
    </xf>
    <xf numFmtId="0" fontId="12" fillId="2" borderId="66" xfId="0" applyFont="1" applyFill="1" applyBorder="1" applyAlignment="1"/>
    <xf numFmtId="0" fontId="12" fillId="0" borderId="66" xfId="0" applyFont="1" applyBorder="1" applyAlignment="1"/>
    <xf numFmtId="0" fontId="12" fillId="0" borderId="1" xfId="0" applyFont="1" applyBorder="1" applyAlignment="1" applyProtection="1">
      <protection locked="0"/>
    </xf>
    <xf numFmtId="0" fontId="12" fillId="0" borderId="89" xfId="0" applyFont="1" applyBorder="1" applyAlignment="1" applyProtection="1">
      <protection locked="0"/>
    </xf>
    <xf numFmtId="0" fontId="63" fillId="9" borderId="106" xfId="0" applyFont="1" applyFill="1" applyBorder="1" applyAlignment="1">
      <alignment vertical="center"/>
    </xf>
    <xf numFmtId="0" fontId="63" fillId="9" borderId="106" xfId="0" applyFont="1" applyFill="1" applyBorder="1"/>
    <xf numFmtId="0" fontId="12" fillId="0" borderId="98" xfId="0" applyFont="1" applyBorder="1" applyAlignment="1" applyProtection="1">
      <protection locked="0"/>
    </xf>
    <xf numFmtId="0" fontId="12" fillId="9" borderId="106" xfId="0" applyFont="1" applyFill="1" applyBorder="1"/>
    <xf numFmtId="0" fontId="65" fillId="9" borderId="106" xfId="0" applyFont="1" applyFill="1" applyBorder="1"/>
    <xf numFmtId="0" fontId="63" fillId="9" borderId="106" xfId="0" applyFont="1" applyFill="1" applyBorder="1" applyAlignment="1">
      <alignment horizontal="left"/>
    </xf>
    <xf numFmtId="0" fontId="63" fillId="9" borderId="106" xfId="0" applyFont="1" applyFill="1" applyBorder="1" applyAlignment="1"/>
    <xf numFmtId="0" fontId="63" fillId="0" borderId="106" xfId="0" applyFont="1" applyBorder="1" applyAlignment="1"/>
    <xf numFmtId="49" fontId="12" fillId="0" borderId="106" xfId="0" applyNumberFormat="1" applyFont="1" applyBorder="1" applyAlignment="1" applyProtection="1">
      <alignment horizontal="left"/>
      <protection locked="0"/>
    </xf>
    <xf numFmtId="49" fontId="12" fillId="0" borderId="106" xfId="0" applyNumberFormat="1" applyFont="1" applyBorder="1" applyAlignment="1" applyProtection="1">
      <protection locked="0"/>
    </xf>
    <xf numFmtId="49" fontId="12" fillId="0" borderId="98" xfId="0" applyNumberFormat="1" applyFont="1" applyBorder="1" applyAlignment="1" applyProtection="1">
      <protection locked="0"/>
    </xf>
    <xf numFmtId="0" fontId="63" fillId="2" borderId="106" xfId="0" applyFont="1" applyFill="1" applyBorder="1" applyAlignment="1"/>
    <xf numFmtId="0" fontId="63" fillId="0" borderId="98" xfId="0" applyFont="1" applyBorder="1" applyAlignment="1"/>
    <xf numFmtId="0" fontId="12" fillId="0" borderId="67" xfId="0" applyFont="1" applyBorder="1" applyAlignment="1" applyProtection="1">
      <protection locked="0"/>
    </xf>
    <xf numFmtId="0" fontId="12" fillId="0" borderId="74" xfId="0" applyFont="1" applyBorder="1" applyAlignment="1" applyProtection="1">
      <protection locked="0"/>
    </xf>
    <xf numFmtId="0" fontId="12" fillId="9" borderId="1" xfId="0" quotePrefix="1" applyFont="1" applyFill="1" applyBorder="1" applyAlignment="1"/>
    <xf numFmtId="0" fontId="12" fillId="0" borderId="10" xfId="0" applyFont="1" applyBorder="1" applyAlignment="1"/>
    <xf numFmtId="0" fontId="12" fillId="9" borderId="0" xfId="0" applyFont="1" applyFill="1" applyAlignment="1"/>
    <xf numFmtId="0" fontId="7" fillId="9" borderId="0" xfId="0" applyFont="1" applyFill="1" applyAlignment="1"/>
    <xf numFmtId="0" fontId="0" fillId="9" borderId="0" xfId="0" applyFill="1" applyAlignment="1"/>
    <xf numFmtId="0" fontId="5" fillId="9" borderId="0" xfId="0" applyFont="1" applyFill="1" applyAlignment="1"/>
    <xf numFmtId="0" fontId="11" fillId="10" borderId="12" xfId="0" applyFont="1" applyFill="1" applyBorder="1" applyAlignment="1" applyProtection="1">
      <protection locked="0" hidden="1"/>
    </xf>
    <xf numFmtId="0" fontId="0" fillId="0" borderId="12" xfId="0" applyBorder="1" applyAlignment="1" applyProtection="1">
      <protection locked="0" hidden="1"/>
    </xf>
    <xf numFmtId="0" fontId="0" fillId="0" borderId="108" xfId="0" applyBorder="1"/>
    <xf numFmtId="0" fontId="11" fillId="9" borderId="0" xfId="0" applyFont="1" applyFill="1" applyAlignment="1"/>
    <xf numFmtId="0" fontId="12" fillId="9" borderId="34" xfId="0" applyFont="1" applyFill="1" applyBorder="1" applyAlignment="1"/>
    <xf numFmtId="0" fontId="7" fillId="9" borderId="34" xfId="0" applyFont="1" applyFill="1" applyBorder="1" applyAlignment="1"/>
    <xf numFmtId="0" fontId="0" fillId="0" borderId="34" xfId="0" applyBorder="1" applyAlignment="1"/>
    <xf numFmtId="169" fontId="11" fillId="0" borderId="37" xfId="0" applyNumberFormat="1" applyFont="1" applyBorder="1" applyAlignment="1" applyProtection="1">
      <protection locked="0"/>
    </xf>
    <xf numFmtId="169" fontId="0" fillId="0" borderId="37" xfId="0" applyNumberFormat="1" applyBorder="1" applyAlignment="1" applyProtection="1">
      <protection locked="0"/>
    </xf>
    <xf numFmtId="0" fontId="11" fillId="0" borderId="2" xfId="0" applyFont="1" applyBorder="1" applyAlignment="1"/>
    <xf numFmtId="0" fontId="0" fillId="0" borderId="2" xfId="0" applyBorder="1" applyAlignment="1"/>
    <xf numFmtId="0" fontId="5" fillId="0" borderId="37" xfId="0" applyFont="1" applyBorder="1" applyAlignment="1"/>
    <xf numFmtId="0" fontId="0" fillId="0" borderId="37" xfId="0" applyBorder="1" applyAlignment="1"/>
    <xf numFmtId="0" fontId="11" fillId="9" borderId="35" xfId="0" applyFont="1" applyFill="1" applyBorder="1" applyAlignment="1"/>
    <xf numFmtId="0" fontId="74" fillId="0" borderId="0" xfId="3" applyAlignment="1" applyProtection="1">
      <protection locked="0"/>
    </xf>
    <xf numFmtId="0" fontId="0" fillId="0" borderId="0" xfId="0" applyAlignment="1" applyProtection="1">
      <protection locked="0"/>
    </xf>
    <xf numFmtId="14" fontId="62" fillId="3" borderId="10" xfId="0" applyNumberFormat="1" applyFont="1" applyFill="1" applyBorder="1" applyAlignment="1" applyProtection="1">
      <protection hidden="1"/>
    </xf>
    <xf numFmtId="0" fontId="7" fillId="0" borderId="10" xfId="0" applyFont="1" applyBorder="1" applyAlignment="1"/>
    <xf numFmtId="0" fontId="12" fillId="3" borderId="106" xfId="0" applyFont="1" applyFill="1" applyBorder="1" applyProtection="1">
      <protection hidden="1"/>
    </xf>
    <xf numFmtId="0" fontId="5" fillId="3" borderId="0" xfId="0" applyFont="1" applyFill="1" applyAlignment="1" applyProtection="1">
      <protection hidden="1"/>
    </xf>
    <xf numFmtId="0" fontId="5" fillId="3" borderId="47" xfId="0" applyFont="1" applyFill="1" applyBorder="1" applyAlignment="1" applyProtection="1">
      <protection hidden="1"/>
    </xf>
    <xf numFmtId="0" fontId="5" fillId="0" borderId="11" xfId="0" applyFont="1" applyBorder="1" applyAlignment="1" applyProtection="1">
      <protection hidden="1"/>
    </xf>
    <xf numFmtId="0" fontId="5" fillId="0" borderId="12" xfId="0" applyFont="1" applyBorder="1" applyAlignment="1" applyProtection="1">
      <protection hidden="1"/>
    </xf>
    <xf numFmtId="0" fontId="5" fillId="0" borderId="44" xfId="0" applyFont="1" applyBorder="1" applyAlignment="1" applyProtection="1">
      <protection hidden="1"/>
    </xf>
    <xf numFmtId="0" fontId="11" fillId="0" borderId="41" xfId="0" applyFont="1" applyBorder="1" applyAlignment="1" applyProtection="1">
      <protection locked="0"/>
    </xf>
    <xf numFmtId="0" fontId="0" fillId="0" borderId="42" xfId="0" applyBorder="1" applyAlignment="1" applyProtection="1">
      <protection locked="0"/>
    </xf>
    <xf numFmtId="0" fontId="0" fillId="0" borderId="43" xfId="0" applyBorder="1" applyAlignment="1" applyProtection="1">
      <protection locked="0"/>
    </xf>
    <xf numFmtId="0" fontId="11" fillId="0" borderId="21" xfId="0" applyFont="1" applyBorder="1" applyAlignment="1" applyProtection="1">
      <protection locked="0"/>
    </xf>
    <xf numFmtId="0" fontId="0" fillId="0" borderId="8" xfId="0" applyBorder="1" applyAlignment="1" applyProtection="1">
      <protection locked="0"/>
    </xf>
    <xf numFmtId="0" fontId="0" fillId="0" borderId="33" xfId="0" applyBorder="1" applyAlignment="1" applyProtection="1">
      <protection locked="0"/>
    </xf>
    <xf numFmtId="0" fontId="11" fillId="0" borderId="8" xfId="0" applyFont="1" applyBorder="1" applyAlignment="1" applyProtection="1">
      <protection locked="0"/>
    </xf>
    <xf numFmtId="0" fontId="11" fillId="0" borderId="33" xfId="0" applyFont="1" applyBorder="1" applyAlignment="1" applyProtection="1">
      <protection locked="0"/>
    </xf>
    <xf numFmtId="0" fontId="0" fillId="0" borderId="103" xfId="0" applyBorder="1"/>
    <xf numFmtId="0" fontId="0" fillId="0" borderId="0" xfId="0" applyAlignment="1"/>
    <xf numFmtId="0" fontId="0" fillId="9" borderId="97" xfId="0" applyFill="1" applyBorder="1" applyAlignment="1">
      <alignment horizontal="centerContinuous"/>
    </xf>
    <xf numFmtId="6" fontId="0" fillId="9" borderId="0" xfId="0" applyNumberFormat="1" applyFill="1" applyAlignment="1"/>
    <xf numFmtId="0" fontId="67" fillId="9" borderId="97" xfId="0" applyFont="1" applyFill="1" applyBorder="1" applyAlignment="1">
      <alignment vertical="center" wrapText="1"/>
    </xf>
    <xf numFmtId="0" fontId="28" fillId="13" borderId="64" xfId="0" applyFont="1" applyFill="1" applyBorder="1" applyAlignment="1"/>
    <xf numFmtId="0" fontId="0" fillId="0" borderId="64" xfId="0" applyBorder="1" applyAlignment="1"/>
    <xf numFmtId="0" fontId="40" fillId="0" borderId="59" xfId="0" applyFont="1" applyBorder="1" applyAlignment="1"/>
    <xf numFmtId="0" fontId="40" fillId="13" borderId="54" xfId="0" applyFont="1" applyFill="1" applyBorder="1" applyAlignment="1"/>
    <xf numFmtId="0" fontId="40" fillId="0" borderId="58" xfId="0" applyFont="1" applyBorder="1" applyAlignment="1"/>
    <xf numFmtId="0" fontId="40" fillId="0" borderId="55" xfId="0" applyFont="1" applyBorder="1" applyAlignment="1"/>
  </cellXfs>
  <cellStyles count="4">
    <cellStyle name="Hyperlänk" xfId="3" builtinId="8"/>
    <cellStyle name="Normal" xfId="0" builtinId="0"/>
    <cellStyle name="Normal 2" xfId="1" xr:uid="{00000000-0005-0000-0000-000002000000}"/>
    <cellStyle name="Normal 3" xfId="2" xr:uid="{00000000-0005-0000-0000-000003000000}"/>
  </cellStyles>
  <dxfs count="391">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theme="1"/>
        </left>
        <right style="thin">
          <color theme="1"/>
        </right>
        <top style="thin">
          <color theme="1"/>
        </top>
        <bottom style="thin">
          <color theme="1"/>
        </bottom>
        <vertical/>
        <horizontal/>
      </border>
    </dxf>
    <dxf>
      <fill>
        <patternFill patternType="gray0625">
          <fgColor theme="0"/>
          <bgColor rgb="FFFF0000"/>
        </patternFill>
      </fill>
      <border>
        <left style="thin">
          <color auto="1"/>
        </left>
        <right style="thin">
          <color auto="1"/>
        </right>
        <top style="thin">
          <color auto="1"/>
        </top>
        <bottom style="thin">
          <color auto="1"/>
        </bottom>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patternType="gray0625">
          <fgColor theme="0"/>
          <bgColor rgb="FFFF0000"/>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gradientFill degree="270">
          <stop position="0">
            <color theme="0"/>
          </stop>
          <stop position="1">
            <color rgb="FFFF0000"/>
          </stop>
        </gradientFill>
      </fill>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auto="1"/>
      </font>
      <fill>
        <patternFill>
          <bgColor theme="0" tint="-0.14996795556505021"/>
        </patternFill>
      </fill>
      <border>
        <left style="thin">
          <color auto="1"/>
        </left>
        <right style="thin">
          <color auto="1"/>
        </right>
        <top style="thin">
          <color auto="1"/>
        </top>
        <bottom style="thin">
          <color auto="1"/>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bgColor theme="3" tint="0.79998168889431442"/>
        </patternFill>
      </fill>
      <border>
        <left style="thin">
          <color theme="0" tint="-0.499984740745262"/>
        </left>
        <right style="thin">
          <color theme="0" tint="-0.499984740745262"/>
        </right>
        <top style="thin">
          <color theme="0" tint="-0.499984740745262"/>
        </top>
        <bottom style="thin">
          <color theme="0" tint="-0.499984740745262"/>
        </bottom>
      </border>
    </dxf>
    <dxf>
      <fill>
        <patternFill>
          <bgColor theme="0"/>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ill>
        <patternFill patternType="solid">
          <fgColor indexed="64"/>
          <bgColor indexed="42"/>
        </patternFill>
      </fill>
      <protection locked="1"/>
    </dxf>
    <dxf>
      <border outline="0">
        <bottom style="thin">
          <color indexed="64"/>
        </bottom>
      </border>
    </dxf>
    <dxf>
      <fill>
        <patternFill patternType="solid">
          <fgColor indexed="64"/>
          <bgColor indexed="42"/>
        </patternFill>
      </fill>
      <protection locked="1"/>
    </dxf>
    <dxf>
      <font>
        <b/>
        <i val="0"/>
        <strike val="0"/>
        <condense val="0"/>
        <extend val="0"/>
        <outline val="0"/>
        <shadow val="0"/>
        <u val="none"/>
        <vertAlign val="baseline"/>
        <sz val="10"/>
        <color auto="1"/>
        <name val="Arial"/>
        <scheme val="none"/>
      </font>
      <fill>
        <patternFill patternType="solid">
          <fgColor indexed="64"/>
          <bgColor indexed="42"/>
        </patternFill>
      </fill>
      <protection locked="1"/>
    </dxf>
    <dxf>
      <font>
        <b val="0"/>
        <i val="0"/>
        <strike val="0"/>
        <outline val="0"/>
        <shadow val="0"/>
        <u val="none"/>
        <vertAlign val="baseline"/>
        <sz val="10"/>
        <color auto="1"/>
        <name val="Arial"/>
        <scheme val="none"/>
      </font>
      <fill>
        <patternFill patternType="solid">
          <fgColor indexed="64"/>
          <bgColor indexed="42"/>
        </patternFill>
      </fill>
      <protection locked="1"/>
    </dxf>
    <dxf>
      <border outline="0">
        <bottom style="thin">
          <color indexed="64"/>
        </bottom>
      </border>
    </dxf>
    <dxf>
      <font>
        <b val="0"/>
        <i val="0"/>
        <strike val="0"/>
        <outline val="0"/>
        <shadow val="0"/>
        <u val="none"/>
        <vertAlign val="baseline"/>
        <sz val="10"/>
        <color auto="1"/>
        <name val="Arial"/>
        <scheme val="none"/>
      </font>
      <fill>
        <patternFill patternType="solid">
          <fgColor indexed="64"/>
          <bgColor indexed="42"/>
        </patternFill>
      </fill>
      <protection locked="1"/>
    </dxf>
    <dxf>
      <font>
        <b val="0"/>
        <i val="0"/>
        <strike val="0"/>
        <condense val="0"/>
        <extend val="0"/>
        <outline val="0"/>
        <shadow val="0"/>
        <u val="none"/>
        <vertAlign val="baseline"/>
        <sz val="10"/>
        <color auto="1"/>
        <name val="Arial"/>
        <scheme val="none"/>
      </font>
      <fill>
        <patternFill patternType="solid">
          <fgColor indexed="64"/>
          <bgColor indexed="42"/>
        </patternFill>
      </fill>
      <protection locked="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color rgb="FFAEF2C8"/>
      <color rgb="FFFFFFCC"/>
      <color rgb="FF66FFCC"/>
      <color rgb="FF00FFCC"/>
      <color rgb="FFCCFFCC"/>
      <color rgb="FFEBF1DE"/>
      <color rgb="FFFFFF99"/>
      <color rgb="FF55C7D3"/>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1.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xdr:from>
      <xdr:col>9</xdr:col>
      <xdr:colOff>95249</xdr:colOff>
      <xdr:row>2</xdr:row>
      <xdr:rowOff>9525</xdr:rowOff>
    </xdr:from>
    <xdr:to>
      <xdr:col>9</xdr:col>
      <xdr:colOff>295274</xdr:colOff>
      <xdr:row>3</xdr:row>
      <xdr:rowOff>123825</xdr:rowOff>
    </xdr:to>
    <xdr:sp macro="" textlink="">
      <xdr:nvSpPr>
        <xdr:cNvPr id="2" name="Nedåtpil 1">
          <a:extLst>
            <a:ext uri="{FF2B5EF4-FFF2-40B4-BE49-F238E27FC236}">
              <a16:creationId xmlns:a16="http://schemas.microsoft.com/office/drawing/2014/main" id="{00000000-0008-0000-0500-000002000000}"/>
            </a:ext>
          </a:extLst>
        </xdr:cNvPr>
        <xdr:cNvSpPr/>
      </xdr:nvSpPr>
      <xdr:spPr>
        <a:xfrm>
          <a:off x="3438524" y="666750"/>
          <a:ext cx="200025" cy="304800"/>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sv-SE" sz="1100"/>
        </a:p>
      </xdr:txBody>
    </xdr:sp>
    <xdr:clientData/>
  </xdr:twoCellAnchor>
  <xdr:twoCellAnchor editAs="oneCell">
    <xdr:from>
      <xdr:col>14</xdr:col>
      <xdr:colOff>77529</xdr:colOff>
      <xdr:row>0</xdr:row>
      <xdr:rowOff>254738</xdr:rowOff>
    </xdr:from>
    <xdr:to>
      <xdr:col>30</xdr:col>
      <xdr:colOff>406032</xdr:colOff>
      <xdr:row>34</xdr:row>
      <xdr:rowOff>114373</xdr:rowOff>
    </xdr:to>
    <xdr:pic>
      <xdr:nvPicPr>
        <xdr:cNvPr id="3" name="Picture 4">
          <a:extLst>
            <a:ext uri="{FF2B5EF4-FFF2-40B4-BE49-F238E27FC236}">
              <a16:creationId xmlns:a16="http://schemas.microsoft.com/office/drawing/2014/main" id="{00000000-0008-0000-0500-000003000000}"/>
            </a:ext>
          </a:extLst>
        </xdr:cNvPr>
        <xdr:cNvPicPr/>
      </xdr:nvPicPr>
      <xdr:blipFill>
        <a:blip xmlns:r="http://schemas.openxmlformats.org/officeDocument/2006/relationships" r:embed="rId1" cstate="print"/>
        <a:srcRect/>
        <a:stretch>
          <a:fillRect/>
        </a:stretch>
      </xdr:blipFill>
      <xdr:spPr bwMode="auto">
        <a:xfrm>
          <a:off x="6169099" y="254738"/>
          <a:ext cx="4581526" cy="585152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11</xdr:col>
      <xdr:colOff>95249</xdr:colOff>
      <xdr:row>3</xdr:row>
      <xdr:rowOff>38099</xdr:rowOff>
    </xdr:from>
    <xdr:to>
      <xdr:col>18</xdr:col>
      <xdr:colOff>533400</xdr:colOff>
      <xdr:row>25</xdr:row>
      <xdr:rowOff>190499</xdr:rowOff>
    </xdr:to>
    <xdr:pic>
      <xdr:nvPicPr>
        <xdr:cNvPr id="3" name="Bildobjekt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76899" y="647699"/>
          <a:ext cx="4705351" cy="475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904875</xdr:colOff>
      <xdr:row>21</xdr:row>
      <xdr:rowOff>295275</xdr:rowOff>
    </xdr:from>
    <xdr:to>
      <xdr:col>3</xdr:col>
      <xdr:colOff>904875</xdr:colOff>
      <xdr:row>21</xdr:row>
      <xdr:rowOff>295275</xdr:rowOff>
    </xdr:to>
    <xdr:sp macro="[4]!Hide" textlink="">
      <xdr:nvSpPr>
        <xdr:cNvPr id="3" name="Upp-Ned 2">
          <a:extLst>
            <a:ext uri="{FF2B5EF4-FFF2-40B4-BE49-F238E27FC236}">
              <a16:creationId xmlns:a16="http://schemas.microsoft.com/office/drawing/2014/main" id="{00000000-0008-0000-0900-000003000000}"/>
            </a:ext>
          </a:extLst>
        </xdr:cNvPr>
        <xdr:cNvSpPr/>
      </xdr:nvSpPr>
      <xdr:spPr>
        <a:xfrm rot="10800000">
          <a:off x="1890993" y="4038040"/>
          <a:ext cx="0" cy="0"/>
        </a:xfrm>
        <a:prstGeom prst="upDown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438150</xdr:colOff>
      <xdr:row>0</xdr:row>
      <xdr:rowOff>66675</xdr:rowOff>
    </xdr:from>
    <xdr:to>
      <xdr:col>7</xdr:col>
      <xdr:colOff>438150</xdr:colOff>
      <xdr:row>0</xdr:row>
      <xdr:rowOff>66675</xdr:rowOff>
    </xdr:to>
    <xdr:sp macro="[4]!_xludf.Höger" textlink="">
      <xdr:nvSpPr>
        <xdr:cNvPr id="4" name="Höger 3">
          <a:extLst>
            <a:ext uri="{FF2B5EF4-FFF2-40B4-BE49-F238E27FC236}">
              <a16:creationId xmlns:a16="http://schemas.microsoft.com/office/drawing/2014/main" id="{00000000-0008-0000-0900-000004000000}"/>
            </a:ext>
          </a:extLst>
        </xdr:cNvPr>
        <xdr:cNvSpPr/>
      </xdr:nvSpPr>
      <xdr:spPr>
        <a:xfrm>
          <a:off x="5319713" y="66675"/>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76200</xdr:colOff>
      <xdr:row>0</xdr:row>
      <xdr:rowOff>66675</xdr:rowOff>
    </xdr:from>
    <xdr:to>
      <xdr:col>7</xdr:col>
      <xdr:colOff>76200</xdr:colOff>
      <xdr:row>0</xdr:row>
      <xdr:rowOff>66675</xdr:rowOff>
    </xdr:to>
    <xdr:sp macro="[4]!_xludf.Vänster" textlink="">
      <xdr:nvSpPr>
        <xdr:cNvPr id="5" name="Höger 4">
          <a:extLst>
            <a:ext uri="{FF2B5EF4-FFF2-40B4-BE49-F238E27FC236}">
              <a16:creationId xmlns:a16="http://schemas.microsoft.com/office/drawing/2014/main" id="{00000000-0008-0000-0900-000005000000}"/>
            </a:ext>
          </a:extLst>
        </xdr:cNvPr>
        <xdr:cNvSpPr/>
      </xdr:nvSpPr>
      <xdr:spPr>
        <a:xfrm flipH="1">
          <a:off x="4957763" y="66675"/>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742949</xdr:colOff>
      <xdr:row>21</xdr:row>
      <xdr:rowOff>1</xdr:rowOff>
    </xdr:from>
    <xdr:to>
      <xdr:col>7</xdr:col>
      <xdr:colOff>742949</xdr:colOff>
      <xdr:row>21</xdr:row>
      <xdr:rowOff>1</xdr:rowOff>
    </xdr:to>
    <xdr:sp macro="[4]!Up" textlink="">
      <xdr:nvSpPr>
        <xdr:cNvPr id="6" name="Höger 5">
          <a:extLst>
            <a:ext uri="{FF2B5EF4-FFF2-40B4-BE49-F238E27FC236}">
              <a16:creationId xmlns:a16="http://schemas.microsoft.com/office/drawing/2014/main" id="{00000000-0008-0000-0900-000006000000}"/>
            </a:ext>
          </a:extLst>
        </xdr:cNvPr>
        <xdr:cNvSpPr/>
      </xdr:nvSpPr>
      <xdr:spPr>
        <a:xfrm rot="5400000" flipH="1">
          <a:off x="5628714" y="3742766"/>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xdr:from>
      <xdr:col>7</xdr:col>
      <xdr:colOff>85725</xdr:colOff>
      <xdr:row>21</xdr:row>
      <xdr:rowOff>314325</xdr:rowOff>
    </xdr:from>
    <xdr:to>
      <xdr:col>7</xdr:col>
      <xdr:colOff>85725</xdr:colOff>
      <xdr:row>21</xdr:row>
      <xdr:rowOff>314325</xdr:rowOff>
    </xdr:to>
    <xdr:sp macro="[4]!Down" textlink="">
      <xdr:nvSpPr>
        <xdr:cNvPr id="7" name="Höger 6">
          <a:extLst>
            <a:ext uri="{FF2B5EF4-FFF2-40B4-BE49-F238E27FC236}">
              <a16:creationId xmlns:a16="http://schemas.microsoft.com/office/drawing/2014/main" id="{00000000-0008-0000-0900-000007000000}"/>
            </a:ext>
          </a:extLst>
        </xdr:cNvPr>
        <xdr:cNvSpPr/>
      </xdr:nvSpPr>
      <xdr:spPr>
        <a:xfrm rot="16200000" flipH="1" flipV="1">
          <a:off x="4971490" y="4057090"/>
          <a:ext cx="0" cy="0"/>
        </a:xfrm>
        <a:prstGeom prst="rightArrow">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sv-SE" sz="1100"/>
        </a:p>
      </xdr:txBody>
    </xdr:sp>
    <xdr:clientData fPrintsWithSheet="0"/>
  </xdr:twoCellAnchor>
  <xdr:twoCellAnchor editAs="oneCell">
    <xdr:from>
      <xdr:col>11</xdr:col>
      <xdr:colOff>638175</xdr:colOff>
      <xdr:row>0</xdr:row>
      <xdr:rowOff>28575</xdr:rowOff>
    </xdr:from>
    <xdr:to>
      <xdr:col>12</xdr:col>
      <xdr:colOff>1032601</xdr:colOff>
      <xdr:row>2</xdr:row>
      <xdr:rowOff>94161</xdr:rowOff>
    </xdr:to>
    <xdr:pic>
      <xdr:nvPicPr>
        <xdr:cNvPr id="8" name="Bildobjekt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8286750" y="28575"/>
          <a:ext cx="1437640" cy="39624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spaces.fortum.com/Users/B/AppData/Local/Temp/V&#228;rderingsprotokoll%20-%20intr&#229;ng%20Bergvik%20Skogs%20mark%201505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ewingmik\AppData\Local\Microsoft\Windows\INetCache\Content.Outlook\4WXHPWS1\kundutbetalningsunderlag%20Ellevio_1_test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office.ellevio.com/home/DATA/FORTUM/Elevio%20180202/Fakturamal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DATA\FORTUM\Elevio%20180202\Fakturamal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ärderingsprotokoll"/>
      <sheetName val="Instruktion"/>
      <sheetName val="Bergvikbolag"/>
    </sheetNames>
    <sheetDataSet>
      <sheetData sheetId="0">
        <row r="7">
          <cell r="E7" t="str">
            <v>Norrlands inland</v>
          </cell>
        </row>
        <row r="8">
          <cell r="E8" t="str">
            <v>Norrlands kustland</v>
          </cell>
        </row>
        <row r="9">
          <cell r="E9" t="str">
            <v>Tillväxtområde 3</v>
          </cell>
        </row>
        <row r="10">
          <cell r="E10" t="str">
            <v>Tillväxtområde 4 A</v>
          </cell>
        </row>
        <row r="11">
          <cell r="E11" t="str">
            <v>Tillväxtområde 4 B</v>
          </cell>
        </row>
      </sheetData>
      <sheetData sheetId="1" refreshError="1"/>
      <sheetData sheetId="2">
        <row r="3">
          <cell r="B3" t="str">
            <v>Bergvik Skog Väst AB</v>
          </cell>
        </row>
        <row r="4">
          <cell r="B4" t="str">
            <v>Bergvik Skog Öst AB</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hantering"/>
      <sheetName val="Inläsning utbetalning"/>
      <sheetName val="Inläsning faktura"/>
      <sheetName val="Faktura"/>
      <sheetName val="Produkter"/>
      <sheetName val="Data"/>
      <sheetName val="Moms- och bokf grupp"/>
      <sheetName val="Moms"/>
    </sheetNames>
    <sheetDataSet>
      <sheetData sheetId="0"/>
      <sheetData sheetId="1"/>
      <sheetData sheetId="2"/>
      <sheetData sheetId="3">
        <row r="5">
          <cell r="G5" t="str">
            <v>Eva Nordholm</v>
          </cell>
          <cell r="L5" t="str">
            <v>Direktutbetalning</v>
          </cell>
        </row>
      </sheetData>
      <sheetData sheetId="4">
        <row r="1">
          <cell r="C1" t="str">
            <v>KLISTRAS IN FRÅN VB</v>
          </cell>
        </row>
      </sheetData>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ms- och bokf grupp"/>
      <sheetName val="Produkter"/>
    </sheetNames>
    <sheetDataSet>
      <sheetData sheetId="0"/>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shantering"/>
      <sheetName val="Inläsning utbetalning"/>
      <sheetName val="Inläsning faktura"/>
      <sheetName val="Faktura"/>
      <sheetName val="Produkter"/>
      <sheetName val="Data"/>
      <sheetName val="Moms- och bokf grupp"/>
      <sheetName val="Moms"/>
      <sheetName val="Fakturamall"/>
    </sheetNames>
    <definedNames>
      <definedName name="Down"/>
      <definedName name="Hide"/>
      <definedName name="Höger"/>
      <definedName name="Up"/>
      <definedName name="Vänst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162" displayName="Lista162" ref="AD3:AD5" totalsRowShown="0" headerRowDxfId="390" dataDxfId="389" tableBorderDxfId="388">
  <autoFilter ref="AD3:AD5" xr:uid="{00000000-0009-0000-0100-000001000000}"/>
  <tableColumns count="1">
    <tableColumn id="1" xr3:uid="{00000000-0010-0000-0000-000001000000}" name="Kolumn1" dataDxfId="387"/>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1000000}" name="Lista279" displayName="Lista279" ref="AD19:AD26" totalsRowShown="0" headerRowDxfId="386" dataDxfId="385" tableBorderDxfId="384">
  <autoFilter ref="AD19:AD26" xr:uid="{00000000-0009-0000-0100-000008000000}"/>
  <tableColumns count="1">
    <tableColumn id="1" xr3:uid="{00000000-0010-0000-0100-000001000000}" name="Kolumn1" dataDxfId="38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4"/>
  <dimension ref="A1:C70"/>
  <sheetViews>
    <sheetView workbookViewId="0" xr3:uid="{AEA406A1-0E4B-5B11-9CD5-51D6E497D94C}"/>
  </sheetViews>
  <sheetFormatPr defaultColWidth="9.140625" defaultRowHeight="15"/>
  <cols>
    <col min="1" max="1" width="9.140625" style="154"/>
    <col min="2" max="2" width="36.7109375" style="154" customWidth="1"/>
    <col min="3" max="16384" width="9.140625" style="154"/>
  </cols>
  <sheetData>
    <row r="1" spans="1:3">
      <c r="C1" s="154" t="s">
        <v>0</v>
      </c>
    </row>
    <row r="2" spans="1:3">
      <c r="A2" s="154">
        <v>1</v>
      </c>
      <c r="B2" s="154" t="s">
        <v>1</v>
      </c>
      <c r="C2" s="154">
        <v>25</v>
      </c>
    </row>
    <row r="3" spans="1:3">
      <c r="A3" s="154">
        <v>2</v>
      </c>
      <c r="B3" s="154" t="s">
        <v>2</v>
      </c>
      <c r="C3" s="154">
        <v>12</v>
      </c>
    </row>
    <row r="4" spans="1:3">
      <c r="A4" s="154">
        <v>3</v>
      </c>
      <c r="B4" s="154" t="s">
        <v>3</v>
      </c>
      <c r="C4" s="154">
        <v>6</v>
      </c>
    </row>
    <row r="5" spans="1:3">
      <c r="A5" s="154">
        <v>4</v>
      </c>
      <c r="B5" s="154" t="s">
        <v>4</v>
      </c>
      <c r="C5" s="154">
        <v>25</v>
      </c>
    </row>
    <row r="6" spans="1:3">
      <c r="A6" s="154">
        <v>5</v>
      </c>
      <c r="B6" s="154" t="s">
        <v>5</v>
      </c>
      <c r="C6" s="154">
        <v>12</v>
      </c>
    </row>
    <row r="7" spans="1:3">
      <c r="A7" s="154">
        <v>6</v>
      </c>
      <c r="B7" s="154" t="s">
        <v>6</v>
      </c>
      <c r="C7" s="154">
        <v>6</v>
      </c>
    </row>
    <row r="8" spans="1:3">
      <c r="A8" s="154">
        <v>7</v>
      </c>
      <c r="B8" s="154" t="s">
        <v>7</v>
      </c>
      <c r="C8" s="154">
        <v>25</v>
      </c>
    </row>
    <row r="9" spans="1:3">
      <c r="A9" s="154">
        <v>8</v>
      </c>
      <c r="B9" s="154" t="s">
        <v>8</v>
      </c>
      <c r="C9" s="154">
        <v>12</v>
      </c>
    </row>
    <row r="10" spans="1:3">
      <c r="A10" s="154">
        <v>9</v>
      </c>
      <c r="B10" s="154" t="s">
        <v>9</v>
      </c>
      <c r="C10" s="154">
        <v>6</v>
      </c>
    </row>
    <row r="11" spans="1:3">
      <c r="A11" s="154">
        <v>10</v>
      </c>
      <c r="B11" s="154" t="s">
        <v>10</v>
      </c>
      <c r="C11" s="154">
        <v>25</v>
      </c>
    </row>
    <row r="12" spans="1:3">
      <c r="A12" s="154">
        <v>11</v>
      </c>
      <c r="B12" s="154" t="s">
        <v>11</v>
      </c>
      <c r="C12" s="154">
        <v>12</v>
      </c>
    </row>
    <row r="13" spans="1:3">
      <c r="A13" s="154">
        <v>12</v>
      </c>
      <c r="B13" s="154" t="s">
        <v>12</v>
      </c>
      <c r="C13" s="154">
        <v>6</v>
      </c>
    </row>
    <row r="14" spans="1:3">
      <c r="A14" s="154">
        <v>13</v>
      </c>
      <c r="B14" s="154" t="s">
        <v>13</v>
      </c>
      <c r="C14" s="154">
        <v>25</v>
      </c>
    </row>
    <row r="15" spans="1:3">
      <c r="A15" s="154">
        <v>14</v>
      </c>
      <c r="B15" s="154" t="s">
        <v>14</v>
      </c>
      <c r="C15" s="154">
        <v>12</v>
      </c>
    </row>
    <row r="16" spans="1:3">
      <c r="A16" s="154">
        <v>15</v>
      </c>
      <c r="B16" s="154" t="s">
        <v>15</v>
      </c>
      <c r="C16" s="154">
        <v>6</v>
      </c>
    </row>
    <row r="17" spans="1:3">
      <c r="A17" s="154">
        <v>16</v>
      </c>
      <c r="B17" s="154" t="s">
        <v>16</v>
      </c>
      <c r="C17" s="154">
        <v>25</v>
      </c>
    </row>
    <row r="18" spans="1:3">
      <c r="A18" s="154">
        <v>17</v>
      </c>
      <c r="B18" s="154" t="s">
        <v>17</v>
      </c>
      <c r="C18" s="154">
        <v>12</v>
      </c>
    </row>
    <row r="19" spans="1:3">
      <c r="A19" s="154">
        <v>18</v>
      </c>
      <c r="B19" s="154" t="s">
        <v>18</v>
      </c>
      <c r="C19" s="154">
        <v>6</v>
      </c>
    </row>
    <row r="20" spans="1:3">
      <c r="A20" s="154">
        <v>19</v>
      </c>
      <c r="B20" s="154" t="s">
        <v>19</v>
      </c>
      <c r="C20" s="154">
        <v>25</v>
      </c>
    </row>
    <row r="21" spans="1:3">
      <c r="A21" s="154">
        <v>20</v>
      </c>
      <c r="B21" s="154" t="s">
        <v>20</v>
      </c>
      <c r="C21" s="154">
        <v>12</v>
      </c>
    </row>
    <row r="22" spans="1:3">
      <c r="A22" s="154">
        <v>21</v>
      </c>
      <c r="B22" s="154" t="s">
        <v>21</v>
      </c>
      <c r="C22" s="154">
        <v>6</v>
      </c>
    </row>
    <row r="23" spans="1:3">
      <c r="A23" s="154">
        <v>22</v>
      </c>
      <c r="B23" s="154" t="s">
        <v>22</v>
      </c>
      <c r="C23" s="154">
        <v>25</v>
      </c>
    </row>
    <row r="24" spans="1:3">
      <c r="A24" s="154">
        <v>23</v>
      </c>
      <c r="B24" s="154" t="s">
        <v>23</v>
      </c>
      <c r="C24" s="154">
        <v>12</v>
      </c>
    </row>
    <row r="25" spans="1:3">
      <c r="A25" s="154">
        <v>24</v>
      </c>
      <c r="B25" s="154" t="s">
        <v>24</v>
      </c>
      <c r="C25" s="154">
        <v>6</v>
      </c>
    </row>
    <row r="26" spans="1:3">
      <c r="A26" s="154">
        <v>25</v>
      </c>
      <c r="B26" s="154" t="s">
        <v>25</v>
      </c>
      <c r="C26" s="154">
        <v>25</v>
      </c>
    </row>
    <row r="27" spans="1:3">
      <c r="A27" s="154">
        <v>26</v>
      </c>
      <c r="B27" s="154" t="s">
        <v>26</v>
      </c>
      <c r="C27" s="154">
        <v>12</v>
      </c>
    </row>
    <row r="28" spans="1:3">
      <c r="A28" s="154">
        <v>27</v>
      </c>
      <c r="B28" s="154" t="s">
        <v>27</v>
      </c>
      <c r="C28" s="154">
        <v>6</v>
      </c>
    </row>
    <row r="29" spans="1:3">
      <c r="A29" s="154">
        <v>28</v>
      </c>
      <c r="B29" s="154" t="s">
        <v>28</v>
      </c>
      <c r="C29" s="154">
        <v>25</v>
      </c>
    </row>
    <row r="30" spans="1:3">
      <c r="A30" s="154">
        <v>31</v>
      </c>
      <c r="B30" s="154" t="s">
        <v>29</v>
      </c>
      <c r="C30" s="154">
        <v>0</v>
      </c>
    </row>
    <row r="31" spans="1:3">
      <c r="A31" s="154">
        <v>32</v>
      </c>
      <c r="B31" s="154" t="s">
        <v>30</v>
      </c>
      <c r="C31" s="154">
        <v>0</v>
      </c>
    </row>
    <row r="32" spans="1:3">
      <c r="A32" s="154">
        <v>33</v>
      </c>
      <c r="B32" s="154" t="s">
        <v>31</v>
      </c>
      <c r="C32" s="154">
        <v>0</v>
      </c>
    </row>
    <row r="33" spans="1:3">
      <c r="A33" s="154">
        <v>34</v>
      </c>
      <c r="B33" s="154" t="s">
        <v>32</v>
      </c>
      <c r="C33" s="154">
        <v>0</v>
      </c>
    </row>
    <row r="34" spans="1:3">
      <c r="A34" s="154">
        <v>35</v>
      </c>
      <c r="B34" s="154" t="s">
        <v>33</v>
      </c>
      <c r="C34" s="154">
        <v>0</v>
      </c>
    </row>
    <row r="35" spans="1:3">
      <c r="A35" s="154">
        <v>36</v>
      </c>
      <c r="B35" s="154" t="s">
        <v>34</v>
      </c>
      <c r="C35" s="154">
        <v>0</v>
      </c>
    </row>
    <row r="36" spans="1:3">
      <c r="A36" s="154">
        <v>37</v>
      </c>
      <c r="B36" s="154" t="s">
        <v>35</v>
      </c>
      <c r="C36" s="154">
        <v>0</v>
      </c>
    </row>
    <row r="37" spans="1:3">
      <c r="A37" s="154">
        <v>38</v>
      </c>
      <c r="B37" s="154" t="s">
        <v>36</v>
      </c>
      <c r="C37" s="154">
        <v>0</v>
      </c>
    </row>
    <row r="38" spans="1:3">
      <c r="A38" s="154">
        <v>41</v>
      </c>
      <c r="B38" s="154" t="s">
        <v>37</v>
      </c>
      <c r="C38" s="154">
        <v>0</v>
      </c>
    </row>
    <row r="39" spans="1:3">
      <c r="A39" s="154">
        <v>42</v>
      </c>
      <c r="B39" s="154" t="s">
        <v>38</v>
      </c>
      <c r="C39" s="154">
        <v>0</v>
      </c>
    </row>
    <row r="40" spans="1:3">
      <c r="A40" s="154">
        <v>43</v>
      </c>
      <c r="B40" s="154" t="s">
        <v>39</v>
      </c>
      <c r="C40" s="154">
        <v>0</v>
      </c>
    </row>
    <row r="41" spans="1:3">
      <c r="A41" s="154">
        <v>47</v>
      </c>
      <c r="B41" s="154" t="s">
        <v>40</v>
      </c>
      <c r="C41" s="154">
        <v>0</v>
      </c>
    </row>
    <row r="42" spans="1:3">
      <c r="A42" s="154">
        <v>48</v>
      </c>
      <c r="B42" s="154" t="s">
        <v>41</v>
      </c>
      <c r="C42" s="154">
        <v>0</v>
      </c>
    </row>
    <row r="43" spans="1:3">
      <c r="A43" s="154">
        <v>49</v>
      </c>
      <c r="B43" s="154" t="s">
        <v>42</v>
      </c>
      <c r="C43" s="154">
        <v>0</v>
      </c>
    </row>
    <row r="44" spans="1:3">
      <c r="A44" s="154">
        <v>50</v>
      </c>
      <c r="B44" s="154" t="s">
        <v>43</v>
      </c>
      <c r="C44" s="154">
        <v>0</v>
      </c>
    </row>
    <row r="45" spans="1:3">
      <c r="A45" s="154">
        <v>51</v>
      </c>
      <c r="B45" s="154" t="s">
        <v>44</v>
      </c>
      <c r="C45" s="154">
        <v>0</v>
      </c>
    </row>
    <row r="46" spans="1:3">
      <c r="A46" s="154">
        <v>52</v>
      </c>
      <c r="B46" s="154" t="s">
        <v>45</v>
      </c>
      <c r="C46" s="154">
        <v>0</v>
      </c>
    </row>
    <row r="47" spans="1:3">
      <c r="A47" s="154">
        <v>53</v>
      </c>
      <c r="B47" s="154" t="s">
        <v>46</v>
      </c>
      <c r="C47" s="154">
        <v>0</v>
      </c>
    </row>
    <row r="48" spans="1:3">
      <c r="A48" s="154">
        <v>54</v>
      </c>
      <c r="B48" s="154" t="s">
        <v>47</v>
      </c>
      <c r="C48" s="154">
        <v>0</v>
      </c>
    </row>
    <row r="49" spans="1:3">
      <c r="A49" s="154">
        <v>55</v>
      </c>
      <c r="B49" s="154" t="s">
        <v>48</v>
      </c>
      <c r="C49" s="154">
        <v>0</v>
      </c>
    </row>
    <row r="50" spans="1:3">
      <c r="A50" s="154">
        <v>56</v>
      </c>
      <c r="B50" s="154" t="s">
        <v>49</v>
      </c>
      <c r="C50" s="154">
        <v>0</v>
      </c>
    </row>
    <row r="51" spans="1:3">
      <c r="A51" s="154">
        <v>57</v>
      </c>
      <c r="B51" s="154" t="s">
        <v>50</v>
      </c>
      <c r="C51" s="154">
        <v>0</v>
      </c>
    </row>
    <row r="52" spans="1:3">
      <c r="A52" s="154">
        <v>58</v>
      </c>
      <c r="B52" s="154" t="s">
        <v>51</v>
      </c>
      <c r="C52" s="154">
        <v>0</v>
      </c>
    </row>
    <row r="53" spans="1:3">
      <c r="A53" s="154">
        <v>59</v>
      </c>
      <c r="B53" s="154" t="s">
        <v>52</v>
      </c>
      <c r="C53" s="154">
        <v>0</v>
      </c>
    </row>
    <row r="54" spans="1:3">
      <c r="A54" s="154">
        <v>60</v>
      </c>
      <c r="B54" s="154" t="s">
        <v>53</v>
      </c>
      <c r="C54" s="154">
        <v>0</v>
      </c>
    </row>
    <row r="55" spans="1:3">
      <c r="A55" s="154">
        <v>61</v>
      </c>
      <c r="B55" s="154" t="s">
        <v>54</v>
      </c>
      <c r="C55" s="154">
        <v>0</v>
      </c>
    </row>
    <row r="56" spans="1:3">
      <c r="A56" s="154">
        <v>62</v>
      </c>
      <c r="B56" s="154" t="s">
        <v>55</v>
      </c>
      <c r="C56" s="154">
        <v>0</v>
      </c>
    </row>
    <row r="57" spans="1:3">
      <c r="A57" s="154">
        <v>63</v>
      </c>
      <c r="B57" s="154" t="s">
        <v>56</v>
      </c>
      <c r="C57" s="154">
        <v>0</v>
      </c>
    </row>
    <row r="58" spans="1:3">
      <c r="A58" s="154">
        <v>64</v>
      </c>
      <c r="B58" s="154" t="s">
        <v>57</v>
      </c>
      <c r="C58" s="154">
        <v>0</v>
      </c>
    </row>
    <row r="59" spans="1:3">
      <c r="A59" s="154">
        <v>65</v>
      </c>
      <c r="B59" s="154" t="s">
        <v>58</v>
      </c>
      <c r="C59" s="154">
        <v>0</v>
      </c>
    </row>
    <row r="60" spans="1:3">
      <c r="A60" s="154">
        <v>66</v>
      </c>
      <c r="B60" s="154" t="s">
        <v>59</v>
      </c>
      <c r="C60" s="154">
        <v>0</v>
      </c>
    </row>
    <row r="61" spans="1:3">
      <c r="A61" s="154">
        <v>67</v>
      </c>
      <c r="B61" s="154" t="s">
        <v>60</v>
      </c>
      <c r="C61" s="154">
        <v>0</v>
      </c>
    </row>
    <row r="62" spans="1:3">
      <c r="A62" s="154">
        <v>68</v>
      </c>
      <c r="B62" s="154" t="s">
        <v>61</v>
      </c>
      <c r="C62" s="154">
        <v>0</v>
      </c>
    </row>
    <row r="63" spans="1:3">
      <c r="A63" s="154">
        <v>70</v>
      </c>
      <c r="B63" s="154" t="s">
        <v>62</v>
      </c>
      <c r="C63" s="154">
        <v>0</v>
      </c>
    </row>
    <row r="64" spans="1:3">
      <c r="A64" s="154">
        <v>71</v>
      </c>
      <c r="B64" s="154" t="s">
        <v>63</v>
      </c>
      <c r="C64" s="154">
        <v>25</v>
      </c>
    </row>
    <row r="65" spans="1:3">
      <c r="A65" s="154">
        <v>72</v>
      </c>
      <c r="B65" s="154" t="s">
        <v>64</v>
      </c>
      <c r="C65" s="154">
        <v>12</v>
      </c>
    </row>
    <row r="66" spans="1:3">
      <c r="A66" s="154">
        <v>73</v>
      </c>
      <c r="B66" s="154" t="s">
        <v>65</v>
      </c>
      <c r="C66" s="154">
        <v>6</v>
      </c>
    </row>
    <row r="67" spans="1:3">
      <c r="A67" s="154">
        <v>80</v>
      </c>
      <c r="B67" s="154" t="s">
        <v>66</v>
      </c>
      <c r="C67" s="154">
        <v>0</v>
      </c>
    </row>
    <row r="68" spans="1:3">
      <c r="A68" s="154">
        <v>81</v>
      </c>
      <c r="B68" s="154" t="s">
        <v>67</v>
      </c>
      <c r="C68" s="154">
        <v>25</v>
      </c>
    </row>
    <row r="69" spans="1:3">
      <c r="A69" s="154">
        <v>82</v>
      </c>
      <c r="B69" s="154" t="s">
        <v>68</v>
      </c>
      <c r="C69" s="154">
        <v>0</v>
      </c>
    </row>
    <row r="70" spans="1:3">
      <c r="A70" s="154">
        <v>83</v>
      </c>
      <c r="B70" s="154" t="s">
        <v>69</v>
      </c>
      <c r="C70" s="154">
        <v>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P219"/>
  <sheetViews>
    <sheetView topLeftCell="A4" workbookViewId="0" xr3:uid="{958C4451-9541-5A59-BF78-D2F731DF1C81}">
      <selection activeCell="K14" sqref="K14"/>
    </sheetView>
  </sheetViews>
  <sheetFormatPr defaultColWidth="9.140625" defaultRowHeight="15"/>
  <cols>
    <col min="1" max="1" width="18.5703125" style="154" customWidth="1"/>
    <col min="2" max="2" width="3.5703125" style="163" customWidth="1"/>
    <col min="3" max="3" width="4.85546875" style="163" customWidth="1"/>
    <col min="4" max="4" width="45.5703125" style="154" customWidth="1"/>
    <col min="5" max="5" width="6.7109375" style="154" customWidth="1"/>
    <col min="6" max="11" width="9.140625" style="154"/>
    <col min="12" max="12" width="2.140625" style="154" customWidth="1"/>
    <col min="13" max="13" width="32.28515625" style="154" customWidth="1"/>
    <col min="14" max="14" width="10.7109375" style="154" customWidth="1"/>
    <col min="15" max="15" width="9.85546875" style="154" bestFit="1" customWidth="1"/>
    <col min="16" max="16384" width="9.140625" style="154"/>
  </cols>
  <sheetData>
    <row r="1" spans="1:16">
      <c r="A1" s="154" t="str">
        <f>IF(OR([2]Faktura!L5="Debetfaktura",[2]Faktura!L5="Kreditfaktura"),"Diversefakturering",[2]Faktura!L5)</f>
        <v>Direktutbetalning</v>
      </c>
      <c r="B1" s="156"/>
      <c r="C1" s="342" t="s">
        <v>70</v>
      </c>
      <c r="D1" s="343"/>
      <c r="E1" s="343"/>
      <c r="F1" s="343"/>
      <c r="G1" s="343"/>
      <c r="H1" s="343"/>
      <c r="I1" s="343"/>
      <c r="J1" s="343"/>
      <c r="K1" s="343"/>
      <c r="L1" s="157"/>
    </row>
    <row r="2" spans="1:16" ht="33">
      <c r="B2" s="156"/>
      <c r="C2" s="158" t="s">
        <v>71</v>
      </c>
      <c r="D2" s="159" t="s">
        <v>72</v>
      </c>
      <c r="E2" s="159" t="s">
        <v>73</v>
      </c>
      <c r="F2" s="160" t="s">
        <v>74</v>
      </c>
      <c r="G2" s="160" t="s">
        <v>75</v>
      </c>
      <c r="H2" s="160" t="s">
        <v>76</v>
      </c>
      <c r="I2" s="160" t="s">
        <v>77</v>
      </c>
      <c r="J2" s="160" t="s">
        <v>78</v>
      </c>
      <c r="K2" s="160" t="s">
        <v>79</v>
      </c>
      <c r="L2" s="161"/>
      <c r="O2" s="154" t="s">
        <v>80</v>
      </c>
    </row>
    <row r="3" spans="1:16">
      <c r="A3" s="162"/>
      <c r="B3" s="156" t="str">
        <f>IFERROR(IF(C3="T","x",IF(FIND($A$1,A3,1)&gt;0,"x","")),"")</f>
        <v>x</v>
      </c>
      <c r="C3" s="163" t="s">
        <v>81</v>
      </c>
      <c r="D3" s="154" t="s">
        <v>82</v>
      </c>
      <c r="E3" s="154">
        <v>0</v>
      </c>
      <c r="F3" s="154">
        <v>0</v>
      </c>
      <c r="G3" s="154">
        <v>0</v>
      </c>
      <c r="H3" s="154">
        <v>0</v>
      </c>
      <c r="I3" s="154">
        <v>0</v>
      </c>
      <c r="L3" s="161"/>
      <c r="M3" s="154" t="str">
        <f t="shared" ref="M3:M23" si="0">IFERROR(INDEX($C$3:$C$98,P3)&amp;" " &amp;INDEX($D$3:$D$98,P3),"")</f>
        <v>T Text</v>
      </c>
      <c r="O3" s="154">
        <f>MATCH("x",$B$3:$B$98,)</f>
        <v>1</v>
      </c>
      <c r="P3" s="154">
        <f>O3</f>
        <v>1</v>
      </c>
    </row>
    <row r="4" spans="1:16">
      <c r="A4" s="162" t="s">
        <v>83</v>
      </c>
      <c r="B4" s="156" t="str">
        <f>IFERROR(IF(C5="T","x",IF(FIND($A$1,A4,1)&gt;0,"x","")),"")</f>
        <v/>
      </c>
      <c r="C4" s="154">
        <v>1</v>
      </c>
      <c r="D4" s="164" t="s">
        <v>84</v>
      </c>
      <c r="E4" s="164" t="s">
        <v>85</v>
      </c>
      <c r="F4" s="154">
        <v>21400</v>
      </c>
      <c r="G4" s="154">
        <v>16</v>
      </c>
      <c r="H4" s="154">
        <v>0</v>
      </c>
      <c r="I4" s="154">
        <v>0</v>
      </c>
      <c r="M4" s="154" t="str">
        <f t="shared" ca="1" si="0"/>
        <v>49 Köp av rotpost, 0% moms</v>
      </c>
      <c r="O4" s="154">
        <f t="shared" ref="O4:O67" ca="1" si="1">MATCH("x",OFFSET($B$3:$B$98,P3,),0)</f>
        <v>47</v>
      </c>
      <c r="P4" s="154">
        <f ca="1">P3+O4</f>
        <v>48</v>
      </c>
    </row>
    <row r="5" spans="1:16">
      <c r="A5" s="162" t="s">
        <v>83</v>
      </c>
      <c r="B5" s="156" t="str">
        <f t="shared" ref="B5:B68" si="2">IFERROR(IF(C6="T","x",IF(FIND($A$1,A5,1)&gt;0,"x","")),"")</f>
        <v/>
      </c>
      <c r="C5" s="154">
        <v>2</v>
      </c>
      <c r="D5" s="164" t="s">
        <v>86</v>
      </c>
      <c r="E5" s="164" t="s">
        <v>85</v>
      </c>
      <c r="F5" s="154">
        <v>21400</v>
      </c>
      <c r="G5" s="154">
        <v>16</v>
      </c>
      <c r="H5" s="154">
        <v>0</v>
      </c>
      <c r="I5" s="154">
        <v>0</v>
      </c>
      <c r="M5" s="154" t="str">
        <f t="shared" ca="1" si="0"/>
        <v>50 Förtidig avverkning</v>
      </c>
      <c r="O5" s="154">
        <f t="shared" ca="1" si="1"/>
        <v>1</v>
      </c>
      <c r="P5" s="154">
        <f t="shared" ref="P5:P68" ca="1" si="3">P4+O5</f>
        <v>49</v>
      </c>
    </row>
    <row r="6" spans="1:16">
      <c r="A6" s="162" t="s">
        <v>83</v>
      </c>
      <c r="B6" s="156" t="str">
        <f t="shared" si="2"/>
        <v/>
      </c>
      <c r="C6" s="154">
        <v>3</v>
      </c>
      <c r="D6" s="164" t="s">
        <v>87</v>
      </c>
      <c r="E6" s="164" t="s">
        <v>85</v>
      </c>
      <c r="F6" s="154">
        <v>21400</v>
      </c>
      <c r="G6" s="154">
        <v>16</v>
      </c>
      <c r="H6" s="154">
        <v>0</v>
      </c>
      <c r="I6" s="154">
        <v>0</v>
      </c>
      <c r="M6" s="154" t="str">
        <f t="shared" ca="1" si="0"/>
        <v>51 Fördyrad avverkning</v>
      </c>
      <c r="O6" s="154">
        <f t="shared" ca="1" si="1"/>
        <v>1</v>
      </c>
      <c r="P6" s="154">
        <f t="shared" ca="1" si="3"/>
        <v>50</v>
      </c>
    </row>
    <row r="7" spans="1:16">
      <c r="A7" s="162" t="s">
        <v>83</v>
      </c>
      <c r="B7" s="156" t="str">
        <f t="shared" si="2"/>
        <v/>
      </c>
      <c r="C7" s="154">
        <v>4</v>
      </c>
      <c r="D7" s="164" t="s">
        <v>88</v>
      </c>
      <c r="E7" s="164" t="s">
        <v>85</v>
      </c>
      <c r="F7" s="154">
        <v>21400</v>
      </c>
      <c r="G7" s="154">
        <v>16</v>
      </c>
      <c r="H7" s="154">
        <v>0</v>
      </c>
      <c r="I7" s="154">
        <v>0</v>
      </c>
      <c r="M7" s="154" t="str">
        <f t="shared" ca="1" si="0"/>
        <v>53 Intrångsersättning</v>
      </c>
      <c r="O7" s="154">
        <f t="shared" ca="1" si="1"/>
        <v>2</v>
      </c>
      <c r="P7" s="154">
        <f t="shared" ca="1" si="3"/>
        <v>52</v>
      </c>
    </row>
    <row r="8" spans="1:16">
      <c r="A8" s="162" t="s">
        <v>83</v>
      </c>
      <c r="B8" s="156" t="str">
        <f t="shared" si="2"/>
        <v/>
      </c>
      <c r="C8" s="154">
        <v>5</v>
      </c>
      <c r="D8" s="164" t="s">
        <v>89</v>
      </c>
      <c r="E8" s="164" t="s">
        <v>85</v>
      </c>
      <c r="F8" s="154">
        <v>21400</v>
      </c>
      <c r="G8" s="154">
        <v>16</v>
      </c>
      <c r="H8" s="154">
        <v>0</v>
      </c>
      <c r="I8" s="154">
        <v>0</v>
      </c>
      <c r="M8" s="154" t="str">
        <f t="shared" ca="1" si="0"/>
        <v>62 Särskild ersättning</v>
      </c>
      <c r="O8" s="154">
        <f t="shared" ca="1" si="1"/>
        <v>9</v>
      </c>
      <c r="P8" s="154">
        <f t="shared" ca="1" si="3"/>
        <v>61</v>
      </c>
    </row>
    <row r="9" spans="1:16">
      <c r="A9" s="162" t="s">
        <v>83</v>
      </c>
      <c r="B9" s="156" t="str">
        <f t="shared" si="2"/>
        <v/>
      </c>
      <c r="C9" s="154">
        <v>6</v>
      </c>
      <c r="D9" s="164" t="s">
        <v>90</v>
      </c>
      <c r="E9" s="164" t="s">
        <v>85</v>
      </c>
      <c r="F9" s="154">
        <v>21400</v>
      </c>
      <c r="G9" s="154">
        <v>16</v>
      </c>
      <c r="H9" s="154">
        <v>0</v>
      </c>
      <c r="I9" s="154">
        <v>0</v>
      </c>
      <c r="M9" s="154" t="str">
        <f t="shared" ca="1" si="0"/>
        <v>63 Kantträd vid nybyg</v>
      </c>
      <c r="O9" s="154">
        <f t="shared" ca="1" si="1"/>
        <v>1</v>
      </c>
      <c r="P9" s="154">
        <f t="shared" ca="1" si="3"/>
        <v>62</v>
      </c>
    </row>
    <row r="10" spans="1:16">
      <c r="A10" s="162" t="s">
        <v>83</v>
      </c>
      <c r="B10" s="156" t="str">
        <f t="shared" si="2"/>
        <v/>
      </c>
      <c r="C10" s="154">
        <v>7</v>
      </c>
      <c r="D10" s="154" t="s">
        <v>91</v>
      </c>
      <c r="E10" s="154" t="s">
        <v>85</v>
      </c>
      <c r="F10" s="154">
        <v>21400</v>
      </c>
      <c r="G10" s="154">
        <v>16</v>
      </c>
      <c r="H10" s="154">
        <v>0</v>
      </c>
      <c r="I10" s="154">
        <v>0</v>
      </c>
      <c r="M10" s="154" t="str">
        <f t="shared" ca="1" si="0"/>
        <v/>
      </c>
      <c r="O10" s="154" t="e">
        <f t="shared" ca="1" si="1"/>
        <v>#N/A</v>
      </c>
      <c r="P10" s="154" t="e">
        <f t="shared" ca="1" si="3"/>
        <v>#N/A</v>
      </c>
    </row>
    <row r="11" spans="1:16">
      <c r="A11" s="162" t="s">
        <v>83</v>
      </c>
      <c r="B11" s="156" t="str">
        <f t="shared" si="2"/>
        <v/>
      </c>
      <c r="C11" s="154">
        <v>8</v>
      </c>
      <c r="D11" s="154" t="s">
        <v>92</v>
      </c>
      <c r="E11" s="154" t="s">
        <v>85</v>
      </c>
      <c r="F11" s="154">
        <v>21400</v>
      </c>
      <c r="G11" s="154">
        <v>16</v>
      </c>
      <c r="H11" s="154">
        <v>0</v>
      </c>
      <c r="I11" s="154">
        <v>0</v>
      </c>
      <c r="M11" s="154" t="str">
        <f t="shared" ca="1" si="0"/>
        <v/>
      </c>
      <c r="O11" s="154" t="e">
        <f t="shared" ca="1" si="1"/>
        <v>#N/A</v>
      </c>
      <c r="P11" s="154" t="e">
        <f t="shared" ca="1" si="3"/>
        <v>#N/A</v>
      </c>
    </row>
    <row r="12" spans="1:16">
      <c r="A12" s="162" t="s">
        <v>83</v>
      </c>
      <c r="B12" s="156" t="str">
        <f t="shared" si="2"/>
        <v/>
      </c>
      <c r="C12" s="154">
        <v>9</v>
      </c>
      <c r="D12" s="154" t="s">
        <v>93</v>
      </c>
      <c r="E12" s="154" t="s">
        <v>85</v>
      </c>
      <c r="F12" s="154">
        <v>21400</v>
      </c>
      <c r="G12" s="154">
        <v>48</v>
      </c>
      <c r="H12" s="154">
        <v>0</v>
      </c>
      <c r="I12" s="154">
        <v>0</v>
      </c>
      <c r="M12" s="154" t="str">
        <f t="shared" ca="1" si="0"/>
        <v/>
      </c>
      <c r="O12" s="154" t="e">
        <f t="shared" ca="1" si="1"/>
        <v>#N/A</v>
      </c>
      <c r="P12" s="154" t="e">
        <f t="shared" ca="1" si="3"/>
        <v>#N/A</v>
      </c>
    </row>
    <row r="13" spans="1:16">
      <c r="A13" s="162" t="s">
        <v>83</v>
      </c>
      <c r="B13" s="156" t="str">
        <f t="shared" si="2"/>
        <v/>
      </c>
      <c r="C13" s="154">
        <v>10</v>
      </c>
      <c r="D13" s="164" t="s">
        <v>94</v>
      </c>
      <c r="E13" s="164" t="s">
        <v>85</v>
      </c>
      <c r="F13" s="154">
        <v>21400</v>
      </c>
      <c r="G13" s="154">
        <v>48</v>
      </c>
      <c r="H13" s="154">
        <v>0</v>
      </c>
      <c r="I13" s="154">
        <v>0</v>
      </c>
      <c r="M13" s="154" t="str">
        <f t="shared" ca="1" si="0"/>
        <v/>
      </c>
      <c r="O13" s="154" t="e">
        <f t="shared" ca="1" si="1"/>
        <v>#N/A</v>
      </c>
      <c r="P13" s="154" t="e">
        <f t="shared" ca="1" si="3"/>
        <v>#N/A</v>
      </c>
    </row>
    <row r="14" spans="1:16">
      <c r="A14" s="162" t="s">
        <v>83</v>
      </c>
      <c r="B14" s="156" t="str">
        <f t="shared" si="2"/>
        <v/>
      </c>
      <c r="C14" s="154">
        <v>11</v>
      </c>
      <c r="D14" s="164" t="s">
        <v>95</v>
      </c>
      <c r="E14" s="164" t="s">
        <v>85</v>
      </c>
      <c r="F14" s="154">
        <v>21400</v>
      </c>
      <c r="G14" s="154">
        <v>48</v>
      </c>
      <c r="H14" s="154">
        <v>0</v>
      </c>
      <c r="I14" s="154">
        <v>0</v>
      </c>
      <c r="M14" s="154" t="str">
        <f t="shared" ca="1" si="0"/>
        <v/>
      </c>
      <c r="O14" s="154" t="e">
        <f t="shared" ca="1" si="1"/>
        <v>#N/A</v>
      </c>
      <c r="P14" s="154" t="e">
        <f t="shared" ca="1" si="3"/>
        <v>#N/A</v>
      </c>
    </row>
    <row r="15" spans="1:16">
      <c r="A15" s="162" t="s">
        <v>83</v>
      </c>
      <c r="B15" s="156" t="str">
        <f t="shared" si="2"/>
        <v/>
      </c>
      <c r="C15" s="154">
        <v>12</v>
      </c>
      <c r="D15" s="164" t="s">
        <v>96</v>
      </c>
      <c r="E15" s="164" t="s">
        <v>85</v>
      </c>
      <c r="F15" s="154">
        <v>21400</v>
      </c>
      <c r="G15" s="154">
        <v>48</v>
      </c>
      <c r="H15" s="154">
        <v>0</v>
      </c>
      <c r="I15" s="154">
        <v>0</v>
      </c>
      <c r="M15" s="154" t="str">
        <f t="shared" ca="1" si="0"/>
        <v/>
      </c>
      <c r="O15" s="154" t="e">
        <f t="shared" ca="1" si="1"/>
        <v>#N/A</v>
      </c>
      <c r="P15" s="154" t="e">
        <f t="shared" ca="1" si="3"/>
        <v>#N/A</v>
      </c>
    </row>
    <row r="16" spans="1:16">
      <c r="A16" s="162" t="s">
        <v>83</v>
      </c>
      <c r="B16" s="156" t="str">
        <f t="shared" si="2"/>
        <v/>
      </c>
      <c r="C16" s="154">
        <v>13</v>
      </c>
      <c r="D16" s="164" t="s">
        <v>97</v>
      </c>
      <c r="E16" s="164" t="s">
        <v>85</v>
      </c>
      <c r="F16" s="154">
        <v>21600</v>
      </c>
      <c r="G16" s="154">
        <v>10</v>
      </c>
      <c r="H16" s="154">
        <v>0</v>
      </c>
      <c r="I16" s="154">
        <v>0</v>
      </c>
      <c r="M16" s="154" t="str">
        <f t="shared" ca="1" si="0"/>
        <v/>
      </c>
      <c r="O16" s="154" t="e">
        <f t="shared" ca="1" si="1"/>
        <v>#N/A</v>
      </c>
      <c r="P16" s="154" t="e">
        <f t="shared" ca="1" si="3"/>
        <v>#N/A</v>
      </c>
    </row>
    <row r="17" spans="1:16">
      <c r="A17" s="162" t="s">
        <v>83</v>
      </c>
      <c r="B17" s="156" t="str">
        <f t="shared" si="2"/>
        <v/>
      </c>
      <c r="C17" s="154">
        <v>14</v>
      </c>
      <c r="D17" s="164" t="s">
        <v>98</v>
      </c>
      <c r="E17" s="164" t="s">
        <v>85</v>
      </c>
      <c r="F17" s="154">
        <v>21400</v>
      </c>
      <c r="G17" s="154">
        <v>16</v>
      </c>
      <c r="H17" s="154">
        <v>0</v>
      </c>
      <c r="I17" s="154">
        <v>0</v>
      </c>
      <c r="M17" s="154" t="str">
        <f t="shared" ca="1" si="0"/>
        <v/>
      </c>
      <c r="O17" s="154" t="e">
        <f t="shared" ca="1" si="1"/>
        <v>#N/A</v>
      </c>
      <c r="P17" s="154" t="e">
        <f t="shared" ca="1" si="3"/>
        <v>#N/A</v>
      </c>
    </row>
    <row r="18" spans="1:16">
      <c r="A18" s="162" t="s">
        <v>83</v>
      </c>
      <c r="B18" s="156" t="str">
        <f t="shared" si="2"/>
        <v/>
      </c>
      <c r="C18" s="154">
        <v>15</v>
      </c>
      <c r="D18" s="164" t="s">
        <v>99</v>
      </c>
      <c r="E18" s="164" t="s">
        <v>85</v>
      </c>
      <c r="F18" s="154">
        <v>21600</v>
      </c>
      <c r="G18" s="154">
        <v>10</v>
      </c>
      <c r="H18" s="154">
        <v>0</v>
      </c>
      <c r="I18" s="154">
        <v>0</v>
      </c>
      <c r="M18" s="154" t="str">
        <f t="shared" ca="1" si="0"/>
        <v/>
      </c>
      <c r="O18" s="154" t="e">
        <f t="shared" ca="1" si="1"/>
        <v>#N/A</v>
      </c>
      <c r="P18" s="154" t="e">
        <f t="shared" ca="1" si="3"/>
        <v>#N/A</v>
      </c>
    </row>
    <row r="19" spans="1:16">
      <c r="A19" s="162" t="s">
        <v>83</v>
      </c>
      <c r="B19" s="156" t="str">
        <f t="shared" si="2"/>
        <v/>
      </c>
      <c r="C19" s="154">
        <v>16</v>
      </c>
      <c r="D19" s="164" t="s">
        <v>100</v>
      </c>
      <c r="E19" s="164" t="s">
        <v>85</v>
      </c>
      <c r="F19" s="154">
        <v>20800</v>
      </c>
      <c r="G19" s="154">
        <v>38</v>
      </c>
      <c r="H19" s="154">
        <v>0</v>
      </c>
      <c r="I19" s="154">
        <v>0</v>
      </c>
      <c r="M19" s="154" t="str">
        <f t="shared" ca="1" si="0"/>
        <v/>
      </c>
      <c r="O19" s="154" t="e">
        <f t="shared" ca="1" si="1"/>
        <v>#N/A</v>
      </c>
      <c r="P19" s="154" t="e">
        <f t="shared" ca="1" si="3"/>
        <v>#N/A</v>
      </c>
    </row>
    <row r="20" spans="1:16">
      <c r="A20" s="162" t="s">
        <v>83</v>
      </c>
      <c r="B20" s="156" t="str">
        <f t="shared" si="2"/>
        <v/>
      </c>
      <c r="C20" s="154">
        <v>17</v>
      </c>
      <c r="D20" s="164" t="s">
        <v>101</v>
      </c>
      <c r="E20" s="164" t="s">
        <v>85</v>
      </c>
      <c r="F20" s="154">
        <v>50900</v>
      </c>
      <c r="G20" s="154">
        <v>4</v>
      </c>
      <c r="H20" s="154">
        <v>0</v>
      </c>
      <c r="I20" s="154">
        <v>0</v>
      </c>
      <c r="J20" s="154" t="s">
        <v>102</v>
      </c>
      <c r="M20" s="154" t="str">
        <f t="shared" ca="1" si="0"/>
        <v/>
      </c>
      <c r="O20" s="154" t="e">
        <f t="shared" ca="1" si="1"/>
        <v>#N/A</v>
      </c>
      <c r="P20" s="154" t="e">
        <f t="shared" ca="1" si="3"/>
        <v>#N/A</v>
      </c>
    </row>
    <row r="21" spans="1:16">
      <c r="A21" s="162" t="s">
        <v>83</v>
      </c>
      <c r="B21" s="156" t="str">
        <f t="shared" si="2"/>
        <v/>
      </c>
      <c r="C21" s="154">
        <v>18</v>
      </c>
      <c r="D21" s="164" t="s">
        <v>103</v>
      </c>
      <c r="E21" s="164" t="s">
        <v>104</v>
      </c>
      <c r="F21" s="154">
        <v>50900</v>
      </c>
      <c r="G21" s="154">
        <v>4</v>
      </c>
      <c r="H21" s="154">
        <v>0</v>
      </c>
      <c r="I21" s="154">
        <v>0</v>
      </c>
      <c r="J21" s="154" t="s">
        <v>102</v>
      </c>
      <c r="M21" s="154" t="str">
        <f t="shared" ca="1" si="0"/>
        <v/>
      </c>
      <c r="O21" s="154" t="e">
        <f t="shared" ca="1" si="1"/>
        <v>#N/A</v>
      </c>
      <c r="P21" s="154" t="e">
        <f t="shared" ca="1" si="3"/>
        <v>#N/A</v>
      </c>
    </row>
    <row r="22" spans="1:16">
      <c r="A22" s="162" t="s">
        <v>83</v>
      </c>
      <c r="B22" s="156" t="str">
        <f t="shared" si="2"/>
        <v/>
      </c>
      <c r="C22" s="154">
        <v>19</v>
      </c>
      <c r="D22" s="164" t="s">
        <v>105</v>
      </c>
      <c r="E22" s="164" t="s">
        <v>106</v>
      </c>
      <c r="F22" s="154">
        <v>50900</v>
      </c>
      <c r="G22" s="154">
        <v>4</v>
      </c>
      <c r="H22" s="154">
        <v>0</v>
      </c>
      <c r="I22" s="154">
        <v>0</v>
      </c>
      <c r="J22" s="154" t="s">
        <v>102</v>
      </c>
      <c r="M22" s="154" t="str">
        <f t="shared" ca="1" si="0"/>
        <v/>
      </c>
      <c r="O22" s="154" t="e">
        <f t="shared" ca="1" si="1"/>
        <v>#N/A</v>
      </c>
      <c r="P22" s="154" t="e">
        <f t="shared" ca="1" si="3"/>
        <v>#N/A</v>
      </c>
    </row>
    <row r="23" spans="1:16">
      <c r="A23" s="162" t="s">
        <v>83</v>
      </c>
      <c r="B23" s="156" t="str">
        <f t="shared" si="2"/>
        <v/>
      </c>
      <c r="C23" s="154">
        <v>20</v>
      </c>
      <c r="D23" s="164" t="s">
        <v>107</v>
      </c>
      <c r="E23" s="164" t="s">
        <v>106</v>
      </c>
      <c r="F23" s="154">
        <v>50900</v>
      </c>
      <c r="G23" s="154">
        <v>4</v>
      </c>
      <c r="H23" s="154">
        <v>0</v>
      </c>
      <c r="I23" s="154">
        <v>0</v>
      </c>
      <c r="J23" s="154" t="s">
        <v>102</v>
      </c>
      <c r="M23" s="154" t="str">
        <f t="shared" ca="1" si="0"/>
        <v/>
      </c>
      <c r="O23" s="154" t="e">
        <f t="shared" ca="1" si="1"/>
        <v>#N/A</v>
      </c>
      <c r="P23" s="154" t="e">
        <f t="shared" ca="1" si="3"/>
        <v>#N/A</v>
      </c>
    </row>
    <row r="24" spans="1:16">
      <c r="A24" s="162" t="s">
        <v>83</v>
      </c>
      <c r="B24" s="156" t="str">
        <f t="shared" si="2"/>
        <v/>
      </c>
      <c r="C24" s="154">
        <v>21</v>
      </c>
      <c r="D24" s="164" t="s">
        <v>108</v>
      </c>
      <c r="E24" s="164" t="s">
        <v>106</v>
      </c>
      <c r="F24" s="154">
        <v>50900</v>
      </c>
      <c r="G24" s="154">
        <v>4</v>
      </c>
      <c r="H24" s="154">
        <v>0</v>
      </c>
      <c r="I24" s="154">
        <v>0</v>
      </c>
      <c r="J24" s="154" t="s">
        <v>109</v>
      </c>
      <c r="M24" s="164" t="s">
        <v>110</v>
      </c>
      <c r="O24" s="154" t="e">
        <f t="shared" ca="1" si="1"/>
        <v>#N/A</v>
      </c>
      <c r="P24" s="154" t="e">
        <f t="shared" ca="1" si="3"/>
        <v>#N/A</v>
      </c>
    </row>
    <row r="25" spans="1:16">
      <c r="A25" s="162" t="s">
        <v>83</v>
      </c>
      <c r="B25" s="156" t="str">
        <f t="shared" si="2"/>
        <v/>
      </c>
      <c r="C25" s="154">
        <v>22</v>
      </c>
      <c r="D25" s="164" t="s">
        <v>111</v>
      </c>
      <c r="E25" s="164" t="s">
        <v>112</v>
      </c>
      <c r="F25" s="154">
        <v>30450</v>
      </c>
      <c r="G25" s="154">
        <v>4</v>
      </c>
      <c r="H25" s="154">
        <v>0</v>
      </c>
      <c r="I25" s="154">
        <v>0</v>
      </c>
      <c r="K25" s="154" t="s">
        <v>113</v>
      </c>
      <c r="M25" s="154" t="s">
        <v>114</v>
      </c>
      <c r="O25" s="154" t="e">
        <f t="shared" ca="1" si="1"/>
        <v>#N/A</v>
      </c>
      <c r="P25" s="154" t="e">
        <f t="shared" ca="1" si="3"/>
        <v>#N/A</v>
      </c>
    </row>
    <row r="26" spans="1:16">
      <c r="A26" s="162" t="s">
        <v>115</v>
      </c>
      <c r="B26" s="156" t="str">
        <f t="shared" si="2"/>
        <v/>
      </c>
      <c r="C26" s="154">
        <v>23</v>
      </c>
      <c r="D26" s="164" t="s">
        <v>116</v>
      </c>
      <c r="E26" s="164" t="s">
        <v>112</v>
      </c>
      <c r="F26" s="154">
        <v>30450</v>
      </c>
      <c r="G26" s="154">
        <v>4</v>
      </c>
      <c r="H26" s="154">
        <v>0</v>
      </c>
      <c r="I26" s="154">
        <v>0</v>
      </c>
      <c r="M26" s="154" t="s">
        <v>117</v>
      </c>
      <c r="O26" s="154" t="e">
        <f t="shared" ca="1" si="1"/>
        <v>#N/A</v>
      </c>
      <c r="P26" s="154" t="e">
        <f t="shared" ca="1" si="3"/>
        <v>#N/A</v>
      </c>
    </row>
    <row r="27" spans="1:16">
      <c r="A27" s="162" t="s">
        <v>83</v>
      </c>
      <c r="B27" s="156" t="str">
        <f t="shared" si="2"/>
        <v/>
      </c>
      <c r="C27" s="154">
        <v>24</v>
      </c>
      <c r="D27" s="164" t="s">
        <v>118</v>
      </c>
      <c r="E27" s="164" t="s">
        <v>119</v>
      </c>
      <c r="F27" s="154">
        <v>50050</v>
      </c>
      <c r="G27" s="154">
        <v>4</v>
      </c>
      <c r="H27" s="154">
        <v>0</v>
      </c>
      <c r="I27" s="154">
        <v>0</v>
      </c>
      <c r="K27" s="154" t="s">
        <v>113</v>
      </c>
      <c r="O27" s="154" t="e">
        <f t="shared" ca="1" si="1"/>
        <v>#N/A</v>
      </c>
      <c r="P27" s="154" t="e">
        <f t="shared" ca="1" si="3"/>
        <v>#N/A</v>
      </c>
    </row>
    <row r="28" spans="1:16">
      <c r="A28" s="162" t="s">
        <v>115</v>
      </c>
      <c r="B28" s="156" t="str">
        <f t="shared" si="2"/>
        <v/>
      </c>
      <c r="C28" s="154">
        <v>25</v>
      </c>
      <c r="D28" s="164" t="s">
        <v>120</v>
      </c>
      <c r="E28" s="164" t="s">
        <v>121</v>
      </c>
      <c r="F28" s="154">
        <v>60000</v>
      </c>
      <c r="G28" s="154">
        <v>1</v>
      </c>
      <c r="H28" s="154">
        <v>0</v>
      </c>
      <c r="I28" s="154">
        <v>0</v>
      </c>
      <c r="O28" s="154" t="e">
        <f t="shared" ca="1" si="1"/>
        <v>#N/A</v>
      </c>
      <c r="P28" s="154" t="e">
        <f t="shared" ca="1" si="3"/>
        <v>#N/A</v>
      </c>
    </row>
    <row r="29" spans="1:16">
      <c r="A29" s="162" t="s">
        <v>83</v>
      </c>
      <c r="B29" s="156" t="str">
        <f t="shared" si="2"/>
        <v/>
      </c>
      <c r="C29" s="154">
        <v>26</v>
      </c>
      <c r="D29" s="164" t="s">
        <v>122</v>
      </c>
      <c r="E29" s="164" t="s">
        <v>123</v>
      </c>
      <c r="F29" s="154">
        <v>21400</v>
      </c>
      <c r="G29" s="154">
        <v>16</v>
      </c>
      <c r="H29" s="154">
        <v>0</v>
      </c>
      <c r="I29" s="154">
        <v>0</v>
      </c>
      <c r="M29" s="154" t="str">
        <f t="shared" ref="M29:M92" ca="1" si="4">IFERROR(INDEX($C$3:$C$98,P29)&amp;" " &amp;INDEX($D$3:$D$98,P29),"")</f>
        <v/>
      </c>
      <c r="O29" s="154" t="e">
        <f t="shared" ca="1" si="1"/>
        <v>#N/A</v>
      </c>
      <c r="P29" s="154" t="e">
        <f t="shared" ca="1" si="3"/>
        <v>#N/A</v>
      </c>
    </row>
    <row r="30" spans="1:16">
      <c r="A30" s="162" t="s">
        <v>83</v>
      </c>
      <c r="B30" s="156" t="str">
        <f t="shared" si="2"/>
        <v/>
      </c>
      <c r="C30" s="154">
        <v>27</v>
      </c>
      <c r="D30" s="164" t="s">
        <v>124</v>
      </c>
      <c r="E30" s="164" t="s">
        <v>125</v>
      </c>
      <c r="F30" s="154">
        <v>21400</v>
      </c>
      <c r="G30" s="154">
        <v>16</v>
      </c>
      <c r="H30" s="154">
        <v>0</v>
      </c>
      <c r="I30" s="154">
        <v>0</v>
      </c>
      <c r="M30" s="154" t="str">
        <f t="shared" ca="1" si="4"/>
        <v/>
      </c>
      <c r="O30" s="154" t="e">
        <f t="shared" ca="1" si="1"/>
        <v>#N/A</v>
      </c>
      <c r="P30" s="154" t="e">
        <f t="shared" ca="1" si="3"/>
        <v>#N/A</v>
      </c>
    </row>
    <row r="31" spans="1:16">
      <c r="A31" s="162" t="s">
        <v>83</v>
      </c>
      <c r="B31" s="156" t="str">
        <f>IFERROR(IF(#REF!="T","x",IF(FIND($A$1,A31,1)&gt;0,"x","")),"")</f>
        <v/>
      </c>
      <c r="C31" s="154">
        <v>28</v>
      </c>
      <c r="D31" s="164" t="s">
        <v>126</v>
      </c>
      <c r="E31" s="164" t="s">
        <v>123</v>
      </c>
      <c r="F31" s="154">
        <v>21600</v>
      </c>
      <c r="G31" s="154">
        <v>10</v>
      </c>
      <c r="H31" s="154">
        <v>0</v>
      </c>
      <c r="I31" s="154">
        <v>0</v>
      </c>
      <c r="M31" s="154" t="str">
        <f t="shared" ca="1" si="4"/>
        <v/>
      </c>
      <c r="O31" s="154" t="e">
        <f t="shared" ca="1" si="1"/>
        <v>#N/A</v>
      </c>
      <c r="P31" s="154" t="e">
        <f t="shared" ca="1" si="3"/>
        <v>#N/A</v>
      </c>
    </row>
    <row r="32" spans="1:16">
      <c r="A32" s="162" t="s">
        <v>83</v>
      </c>
      <c r="B32" s="156" t="str">
        <f t="shared" si="2"/>
        <v/>
      </c>
      <c r="C32" s="154">
        <v>30</v>
      </c>
      <c r="D32" s="164" t="s">
        <v>127</v>
      </c>
      <c r="E32" s="164" t="s">
        <v>128</v>
      </c>
      <c r="F32" s="154">
        <v>50900</v>
      </c>
      <c r="G32" s="154">
        <v>4</v>
      </c>
      <c r="H32" s="154">
        <v>0</v>
      </c>
      <c r="I32" s="154">
        <v>0</v>
      </c>
      <c r="J32" s="154" t="s">
        <v>109</v>
      </c>
      <c r="M32" s="154" t="str">
        <f t="shared" ca="1" si="4"/>
        <v/>
      </c>
      <c r="O32" s="154" t="e">
        <f t="shared" ca="1" si="1"/>
        <v>#N/A</v>
      </c>
      <c r="P32" s="154" t="e">
        <f t="shared" ca="1" si="3"/>
        <v>#N/A</v>
      </c>
    </row>
    <row r="33" spans="1:16">
      <c r="A33" s="162" t="s">
        <v>83</v>
      </c>
      <c r="B33" s="156" t="str">
        <f t="shared" si="2"/>
        <v/>
      </c>
      <c r="C33" s="154">
        <v>31</v>
      </c>
      <c r="D33" s="164" t="s">
        <v>129</v>
      </c>
      <c r="E33" s="164" t="s">
        <v>128</v>
      </c>
      <c r="F33" s="154">
        <v>50900</v>
      </c>
      <c r="G33" s="154">
        <v>4</v>
      </c>
      <c r="H33" s="154">
        <v>0</v>
      </c>
      <c r="I33" s="154">
        <v>0</v>
      </c>
      <c r="J33" s="154" t="s">
        <v>109</v>
      </c>
      <c r="M33" s="154" t="str">
        <f t="shared" ca="1" si="4"/>
        <v/>
      </c>
      <c r="O33" s="154" t="e">
        <f t="shared" ca="1" si="1"/>
        <v>#N/A</v>
      </c>
      <c r="P33" s="154" t="e">
        <f t="shared" ca="1" si="3"/>
        <v>#N/A</v>
      </c>
    </row>
    <row r="34" spans="1:16">
      <c r="A34" s="162" t="s">
        <v>83</v>
      </c>
      <c r="B34" s="156" t="str">
        <f t="shared" si="2"/>
        <v/>
      </c>
      <c r="C34" s="154">
        <v>32</v>
      </c>
      <c r="D34" s="164" t="s">
        <v>130</v>
      </c>
      <c r="E34" s="164" t="s">
        <v>128</v>
      </c>
      <c r="F34" s="154">
        <v>50900</v>
      </c>
      <c r="G34" s="154">
        <v>4</v>
      </c>
      <c r="H34" s="154">
        <v>0</v>
      </c>
      <c r="I34" s="154">
        <v>0</v>
      </c>
      <c r="J34" s="154" t="s">
        <v>109</v>
      </c>
      <c r="M34" s="154" t="str">
        <f t="shared" ca="1" si="4"/>
        <v/>
      </c>
      <c r="O34" s="154" t="e">
        <f t="shared" ca="1" si="1"/>
        <v>#N/A</v>
      </c>
      <c r="P34" s="154" t="e">
        <f t="shared" ca="1" si="3"/>
        <v>#N/A</v>
      </c>
    </row>
    <row r="35" spans="1:16">
      <c r="A35" s="165" t="s">
        <v>83</v>
      </c>
      <c r="B35" s="156" t="str">
        <f t="shared" si="2"/>
        <v/>
      </c>
      <c r="C35" s="154">
        <v>33</v>
      </c>
      <c r="D35" s="164" t="s">
        <v>131</v>
      </c>
      <c r="E35" s="164" t="s">
        <v>128</v>
      </c>
      <c r="F35" s="154">
        <v>50900</v>
      </c>
      <c r="G35" s="154">
        <v>4</v>
      </c>
      <c r="H35" s="154">
        <v>0</v>
      </c>
      <c r="I35" s="154">
        <v>0</v>
      </c>
      <c r="J35" s="154" t="s">
        <v>109</v>
      </c>
      <c r="M35" s="154" t="str">
        <f t="shared" ca="1" si="4"/>
        <v/>
      </c>
      <c r="O35" s="154" t="e">
        <f t="shared" ca="1" si="1"/>
        <v>#N/A</v>
      </c>
      <c r="P35" s="154" t="e">
        <f t="shared" ca="1" si="3"/>
        <v>#N/A</v>
      </c>
    </row>
    <row r="36" spans="1:16">
      <c r="A36" s="162" t="s">
        <v>115</v>
      </c>
      <c r="B36" s="156" t="str">
        <f t="shared" si="2"/>
        <v/>
      </c>
      <c r="C36" s="154">
        <v>35</v>
      </c>
      <c r="D36" s="164" t="s">
        <v>132</v>
      </c>
      <c r="E36" s="164" t="s">
        <v>133</v>
      </c>
      <c r="F36" s="154">
        <v>0</v>
      </c>
      <c r="G36" s="154">
        <v>0</v>
      </c>
      <c r="H36" s="154">
        <v>0</v>
      </c>
      <c r="I36" s="154">
        <v>302</v>
      </c>
      <c r="M36" s="154" t="str">
        <f t="shared" ca="1" si="4"/>
        <v/>
      </c>
      <c r="O36" s="154" t="e">
        <f t="shared" ca="1" si="1"/>
        <v>#N/A</v>
      </c>
      <c r="P36" s="154" t="e">
        <f t="shared" ca="1" si="3"/>
        <v>#N/A</v>
      </c>
    </row>
    <row r="37" spans="1:16">
      <c r="A37" s="162" t="s">
        <v>115</v>
      </c>
      <c r="B37" s="156" t="str">
        <f t="shared" si="2"/>
        <v/>
      </c>
      <c r="C37" s="154">
        <v>36</v>
      </c>
      <c r="D37" s="164" t="s">
        <v>134</v>
      </c>
      <c r="E37" s="164" t="s">
        <v>135</v>
      </c>
      <c r="F37" s="154">
        <v>0</v>
      </c>
      <c r="G37" s="154">
        <v>0</v>
      </c>
      <c r="H37" s="154">
        <v>0</v>
      </c>
      <c r="I37" s="154">
        <v>302</v>
      </c>
      <c r="M37" s="154" t="str">
        <f t="shared" ca="1" si="4"/>
        <v/>
      </c>
      <c r="O37" s="154" t="e">
        <f t="shared" ca="1" si="1"/>
        <v>#N/A</v>
      </c>
      <c r="P37" s="154" t="e">
        <f t="shared" ca="1" si="3"/>
        <v>#N/A</v>
      </c>
    </row>
    <row r="38" spans="1:16">
      <c r="A38" s="162" t="s">
        <v>115</v>
      </c>
      <c r="B38" s="156" t="str">
        <f t="shared" si="2"/>
        <v/>
      </c>
      <c r="C38" s="154">
        <v>37</v>
      </c>
      <c r="D38" s="164" t="s">
        <v>136</v>
      </c>
      <c r="E38" s="164" t="s">
        <v>137</v>
      </c>
      <c r="F38" s="154">
        <v>0</v>
      </c>
      <c r="G38" s="154">
        <v>0</v>
      </c>
      <c r="H38" s="154">
        <v>0</v>
      </c>
      <c r="I38" s="154">
        <v>0</v>
      </c>
      <c r="M38" s="154" t="str">
        <f t="shared" ca="1" si="4"/>
        <v/>
      </c>
      <c r="O38" s="154" t="e">
        <f t="shared" ca="1" si="1"/>
        <v>#N/A</v>
      </c>
      <c r="P38" s="154" t="e">
        <f t="shared" ca="1" si="3"/>
        <v>#N/A</v>
      </c>
    </row>
    <row r="39" spans="1:16">
      <c r="A39" s="162" t="s">
        <v>115</v>
      </c>
      <c r="B39" s="156" t="str">
        <f t="shared" si="2"/>
        <v/>
      </c>
      <c r="C39" s="154">
        <v>38</v>
      </c>
      <c r="D39" s="164" t="s">
        <v>138</v>
      </c>
      <c r="E39" s="164" t="s">
        <v>139</v>
      </c>
      <c r="F39" s="154">
        <v>0</v>
      </c>
      <c r="G39" s="154">
        <v>0</v>
      </c>
      <c r="H39" s="154">
        <v>0</v>
      </c>
      <c r="I39" s="154">
        <v>0</v>
      </c>
      <c r="M39" s="154" t="str">
        <f t="shared" ca="1" si="4"/>
        <v/>
      </c>
      <c r="O39" s="154" t="e">
        <f t="shared" ca="1" si="1"/>
        <v>#N/A</v>
      </c>
      <c r="P39" s="154" t="e">
        <f t="shared" ca="1" si="3"/>
        <v>#N/A</v>
      </c>
    </row>
    <row r="40" spans="1:16">
      <c r="A40" s="162" t="s">
        <v>115</v>
      </c>
      <c r="B40" s="156" t="str">
        <f t="shared" si="2"/>
        <v/>
      </c>
      <c r="C40" s="154">
        <v>39</v>
      </c>
      <c r="D40" s="164" t="s">
        <v>140</v>
      </c>
      <c r="E40" s="164" t="s">
        <v>141</v>
      </c>
      <c r="F40" s="154">
        <v>21500</v>
      </c>
      <c r="G40" s="154">
        <v>0</v>
      </c>
      <c r="H40" s="154">
        <v>0</v>
      </c>
      <c r="I40" s="154">
        <v>0</v>
      </c>
      <c r="M40" s="154" t="str">
        <f t="shared" ca="1" si="4"/>
        <v/>
      </c>
      <c r="O40" s="154" t="e">
        <f t="shared" ca="1" si="1"/>
        <v>#N/A</v>
      </c>
      <c r="P40" s="154" t="e">
        <f t="shared" ca="1" si="3"/>
        <v>#N/A</v>
      </c>
    </row>
    <row r="41" spans="1:16">
      <c r="A41" s="162" t="s">
        <v>115</v>
      </c>
      <c r="B41" s="156" t="str">
        <f t="shared" si="2"/>
        <v/>
      </c>
      <c r="C41" s="154">
        <v>40</v>
      </c>
      <c r="D41" s="164" t="s">
        <v>142</v>
      </c>
      <c r="E41" s="164" t="s">
        <v>143</v>
      </c>
      <c r="F41" s="154">
        <v>0</v>
      </c>
      <c r="G41" s="154">
        <v>0</v>
      </c>
      <c r="H41" s="154">
        <v>0</v>
      </c>
      <c r="I41" s="154">
        <v>0</v>
      </c>
      <c r="M41" s="154" t="str">
        <f t="shared" ca="1" si="4"/>
        <v/>
      </c>
      <c r="O41" s="154" t="e">
        <f t="shared" ca="1" si="1"/>
        <v>#N/A</v>
      </c>
      <c r="P41" s="154" t="e">
        <f t="shared" ca="1" si="3"/>
        <v>#N/A</v>
      </c>
    </row>
    <row r="42" spans="1:16">
      <c r="A42" s="162" t="s">
        <v>115</v>
      </c>
      <c r="B42" s="156" t="str">
        <f t="shared" si="2"/>
        <v/>
      </c>
      <c r="C42" s="154">
        <v>41</v>
      </c>
      <c r="D42" s="164" t="s">
        <v>144</v>
      </c>
      <c r="E42" s="164" t="s">
        <v>145</v>
      </c>
      <c r="F42" s="154">
        <v>0</v>
      </c>
      <c r="G42" s="154">
        <v>0</v>
      </c>
      <c r="H42" s="154">
        <v>0</v>
      </c>
      <c r="I42" s="154">
        <v>0</v>
      </c>
      <c r="M42" s="154" t="str">
        <f t="shared" ca="1" si="4"/>
        <v/>
      </c>
      <c r="O42" s="154" t="e">
        <f t="shared" ca="1" si="1"/>
        <v>#N/A</v>
      </c>
      <c r="P42" s="154" t="e">
        <f t="shared" ca="1" si="3"/>
        <v>#N/A</v>
      </c>
    </row>
    <row r="43" spans="1:16">
      <c r="A43" s="162" t="s">
        <v>115</v>
      </c>
      <c r="B43" s="156" t="str">
        <f t="shared" si="2"/>
        <v/>
      </c>
      <c r="C43" s="154">
        <v>42</v>
      </c>
      <c r="D43" s="164" t="s">
        <v>146</v>
      </c>
      <c r="E43" s="164" t="s">
        <v>147</v>
      </c>
      <c r="F43" s="154">
        <v>0</v>
      </c>
      <c r="G43" s="154">
        <v>0</v>
      </c>
      <c r="H43" s="154">
        <v>0</v>
      </c>
      <c r="I43" s="154">
        <v>0</v>
      </c>
      <c r="M43" s="154" t="str">
        <f t="shared" ca="1" si="4"/>
        <v/>
      </c>
      <c r="O43" s="154" t="e">
        <f t="shared" ca="1" si="1"/>
        <v>#N/A</v>
      </c>
      <c r="P43" s="154" t="e">
        <f t="shared" ca="1" si="3"/>
        <v>#N/A</v>
      </c>
    </row>
    <row r="44" spans="1:16">
      <c r="A44" s="162" t="s">
        <v>115</v>
      </c>
      <c r="B44" s="156" t="str">
        <f t="shared" si="2"/>
        <v/>
      </c>
      <c r="C44" s="154">
        <v>43</v>
      </c>
      <c r="D44" s="164" t="s">
        <v>148</v>
      </c>
      <c r="E44" s="164" t="s">
        <v>149</v>
      </c>
      <c r="F44" s="154">
        <v>0</v>
      </c>
      <c r="G44" s="154">
        <v>0</v>
      </c>
      <c r="H44" s="154">
        <v>373014</v>
      </c>
      <c r="I44" s="154">
        <v>0</v>
      </c>
      <c r="M44" s="154" t="str">
        <f t="shared" ca="1" si="4"/>
        <v/>
      </c>
      <c r="O44" s="154" t="e">
        <f t="shared" ca="1" si="1"/>
        <v>#N/A</v>
      </c>
      <c r="P44" s="154" t="e">
        <f t="shared" ca="1" si="3"/>
        <v>#N/A</v>
      </c>
    </row>
    <row r="45" spans="1:16">
      <c r="A45" s="162" t="s">
        <v>115</v>
      </c>
      <c r="B45" s="156" t="str">
        <f t="shared" si="2"/>
        <v/>
      </c>
      <c r="C45" s="154">
        <v>44</v>
      </c>
      <c r="D45" s="164" t="s">
        <v>150</v>
      </c>
      <c r="E45" s="164" t="s">
        <v>151</v>
      </c>
      <c r="F45" s="154">
        <v>0</v>
      </c>
      <c r="G45" s="154">
        <v>0</v>
      </c>
      <c r="H45" s="154">
        <v>373014</v>
      </c>
      <c r="I45" s="154">
        <v>0</v>
      </c>
      <c r="M45" s="154" t="str">
        <f t="shared" ca="1" si="4"/>
        <v/>
      </c>
      <c r="O45" s="154" t="e">
        <f t="shared" ca="1" si="1"/>
        <v>#N/A</v>
      </c>
      <c r="P45" s="154" t="e">
        <f t="shared" ca="1" si="3"/>
        <v>#N/A</v>
      </c>
    </row>
    <row r="46" spans="1:16">
      <c r="A46" s="162" t="s">
        <v>115</v>
      </c>
      <c r="B46" s="156" t="str">
        <f t="shared" si="2"/>
        <v/>
      </c>
      <c r="C46" s="154">
        <v>45</v>
      </c>
      <c r="D46" s="164" t="s">
        <v>152</v>
      </c>
      <c r="E46" s="164" t="s">
        <v>153</v>
      </c>
      <c r="F46" s="154">
        <v>0</v>
      </c>
      <c r="G46" s="154">
        <v>0</v>
      </c>
      <c r="H46" s="154">
        <v>0</v>
      </c>
      <c r="I46" s="154">
        <v>0</v>
      </c>
      <c r="M46" s="154" t="str">
        <f t="shared" ca="1" si="4"/>
        <v/>
      </c>
      <c r="O46" s="154" t="e">
        <f t="shared" ca="1" si="1"/>
        <v>#N/A</v>
      </c>
      <c r="P46" s="154" t="e">
        <f t="shared" ca="1" si="3"/>
        <v>#N/A</v>
      </c>
    </row>
    <row r="47" spans="1:16">
      <c r="A47" s="162" t="s">
        <v>115</v>
      </c>
      <c r="B47" s="156" t="str">
        <f t="shared" si="2"/>
        <v/>
      </c>
      <c r="C47" s="154">
        <v>46</v>
      </c>
      <c r="D47" s="164" t="s">
        <v>154</v>
      </c>
      <c r="E47" s="164" t="s">
        <v>121</v>
      </c>
      <c r="F47" s="154">
        <v>0</v>
      </c>
      <c r="G47" s="154">
        <v>0</v>
      </c>
      <c r="H47" s="154">
        <v>0</v>
      </c>
      <c r="I47" s="154">
        <v>0</v>
      </c>
      <c r="M47" s="154" t="str">
        <f t="shared" ca="1" si="4"/>
        <v/>
      </c>
      <c r="O47" s="154" t="e">
        <f t="shared" ca="1" si="1"/>
        <v>#N/A</v>
      </c>
      <c r="P47" s="154" t="e">
        <f t="shared" ca="1" si="3"/>
        <v>#N/A</v>
      </c>
    </row>
    <row r="48" spans="1:16" ht="15.75" thickBot="1">
      <c r="A48" s="166" t="s">
        <v>115</v>
      </c>
      <c r="B48" s="156" t="str">
        <f t="shared" si="2"/>
        <v/>
      </c>
      <c r="C48" s="154">
        <v>47</v>
      </c>
      <c r="D48" s="164" t="s">
        <v>155</v>
      </c>
      <c r="E48" s="164" t="s">
        <v>156</v>
      </c>
      <c r="F48" s="154">
        <v>0</v>
      </c>
      <c r="G48" s="154">
        <v>0</v>
      </c>
      <c r="H48" s="154">
        <v>0</v>
      </c>
      <c r="I48" s="154">
        <v>0</v>
      </c>
      <c r="M48" s="154" t="str">
        <f t="shared" ca="1" si="4"/>
        <v/>
      </c>
      <c r="O48" s="154" t="e">
        <f t="shared" ca="1" si="1"/>
        <v>#N/A</v>
      </c>
      <c r="P48" s="154" t="e">
        <f t="shared" ca="1" si="3"/>
        <v>#N/A</v>
      </c>
    </row>
    <row r="49" spans="1:16" ht="16.5" thickTop="1" thickBot="1">
      <c r="A49" s="167" t="s">
        <v>157</v>
      </c>
      <c r="B49" s="156" t="str">
        <f t="shared" si="2"/>
        <v/>
      </c>
      <c r="C49" s="154">
        <v>48</v>
      </c>
      <c r="D49" s="164" t="s">
        <v>158</v>
      </c>
      <c r="E49" s="164" t="s">
        <v>159</v>
      </c>
      <c r="F49" s="154">
        <v>0</v>
      </c>
      <c r="G49" s="154">
        <v>0</v>
      </c>
      <c r="H49" s="154">
        <v>0</v>
      </c>
      <c r="I49" s="154">
        <v>0</v>
      </c>
      <c r="M49" s="154" t="str">
        <f t="shared" ca="1" si="4"/>
        <v/>
      </c>
      <c r="O49" s="154" t="e">
        <f t="shared" ca="1" si="1"/>
        <v>#N/A</v>
      </c>
      <c r="P49" s="154" t="e">
        <f t="shared" ca="1" si="3"/>
        <v>#N/A</v>
      </c>
    </row>
    <row r="50" spans="1:16" ht="15.75" thickTop="1">
      <c r="A50" s="162" t="s">
        <v>160</v>
      </c>
      <c r="B50" s="156" t="str">
        <f t="shared" si="2"/>
        <v>x</v>
      </c>
      <c r="C50" s="154">
        <v>49</v>
      </c>
      <c r="D50" s="164" t="s">
        <v>161</v>
      </c>
      <c r="E50" s="164" t="s">
        <v>162</v>
      </c>
      <c r="F50" s="154">
        <v>0</v>
      </c>
      <c r="G50" s="154">
        <v>0</v>
      </c>
      <c r="H50" s="154">
        <v>0</v>
      </c>
      <c r="I50" s="154">
        <v>0</v>
      </c>
      <c r="M50" s="154" t="str">
        <f t="shared" ca="1" si="4"/>
        <v/>
      </c>
      <c r="O50" s="154" t="e">
        <f t="shared" ca="1" si="1"/>
        <v>#N/A</v>
      </c>
      <c r="P50" s="154" t="e">
        <f t="shared" ca="1" si="3"/>
        <v>#N/A</v>
      </c>
    </row>
    <row r="51" spans="1:16">
      <c r="A51" s="162" t="s">
        <v>160</v>
      </c>
      <c r="B51" s="156" t="str">
        <f t="shared" si="2"/>
        <v>x</v>
      </c>
      <c r="C51" s="154">
        <v>50</v>
      </c>
      <c r="D51" s="164" t="s">
        <v>163</v>
      </c>
      <c r="E51" s="164" t="s">
        <v>164</v>
      </c>
      <c r="F51" s="154">
        <v>0</v>
      </c>
      <c r="G51" s="154">
        <v>0</v>
      </c>
      <c r="H51" s="154">
        <v>0</v>
      </c>
      <c r="I51" s="154">
        <v>0</v>
      </c>
      <c r="M51" s="154" t="str">
        <f t="shared" ca="1" si="4"/>
        <v/>
      </c>
      <c r="O51" s="154" t="e">
        <f t="shared" ca="1" si="1"/>
        <v>#N/A</v>
      </c>
      <c r="P51" s="154" t="e">
        <f t="shared" ca="1" si="3"/>
        <v>#N/A</v>
      </c>
    </row>
    <row r="52" spans="1:16">
      <c r="A52" s="162" t="s">
        <v>160</v>
      </c>
      <c r="B52" s="156" t="str">
        <f t="shared" si="2"/>
        <v>x</v>
      </c>
      <c r="C52" s="154">
        <v>51</v>
      </c>
      <c r="D52" s="164" t="s">
        <v>165</v>
      </c>
      <c r="E52" s="164" t="s">
        <v>166</v>
      </c>
      <c r="F52" s="154">
        <v>0</v>
      </c>
      <c r="G52" s="154">
        <v>0</v>
      </c>
      <c r="H52" s="154">
        <v>0</v>
      </c>
      <c r="I52" s="154">
        <v>0</v>
      </c>
      <c r="M52" s="154" t="str">
        <f t="shared" ca="1" si="4"/>
        <v/>
      </c>
      <c r="O52" s="154" t="e">
        <f t="shared" ca="1" si="1"/>
        <v>#N/A</v>
      </c>
      <c r="P52" s="154" t="e">
        <f t="shared" ca="1" si="3"/>
        <v>#N/A</v>
      </c>
    </row>
    <row r="53" spans="1:16">
      <c r="A53" s="162" t="s">
        <v>115</v>
      </c>
      <c r="B53" s="156" t="str">
        <f t="shared" si="2"/>
        <v/>
      </c>
      <c r="C53" s="154">
        <v>52</v>
      </c>
      <c r="D53" s="164" t="s">
        <v>167</v>
      </c>
      <c r="E53" s="164" t="s">
        <v>168</v>
      </c>
      <c r="F53" s="154">
        <v>0</v>
      </c>
      <c r="G53" s="154">
        <v>0</v>
      </c>
      <c r="H53" s="154">
        <v>0</v>
      </c>
      <c r="I53" s="154">
        <v>0</v>
      </c>
      <c r="M53" s="154" t="str">
        <f t="shared" ca="1" si="4"/>
        <v/>
      </c>
      <c r="O53" s="154" t="e">
        <f t="shared" ca="1" si="1"/>
        <v>#N/A</v>
      </c>
      <c r="P53" s="154" t="e">
        <f t="shared" ca="1" si="3"/>
        <v>#N/A</v>
      </c>
    </row>
    <row r="54" spans="1:16">
      <c r="A54" s="162" t="s">
        <v>169</v>
      </c>
      <c r="B54" s="156" t="str">
        <f t="shared" si="2"/>
        <v>x</v>
      </c>
      <c r="C54" s="154">
        <v>53</v>
      </c>
      <c r="D54" s="164" t="s">
        <v>170</v>
      </c>
      <c r="E54" s="164" t="s">
        <v>171</v>
      </c>
      <c r="F54" s="154">
        <v>0</v>
      </c>
      <c r="G54" s="154">
        <v>0</v>
      </c>
      <c r="H54" s="154">
        <v>0</v>
      </c>
      <c r="I54" s="154">
        <v>0</v>
      </c>
      <c r="M54" s="154" t="str">
        <f t="shared" ca="1" si="4"/>
        <v/>
      </c>
      <c r="O54" s="154" t="e">
        <f t="shared" ca="1" si="1"/>
        <v>#N/A</v>
      </c>
      <c r="P54" s="154" t="e">
        <f t="shared" ca="1" si="3"/>
        <v>#N/A</v>
      </c>
    </row>
    <row r="55" spans="1:16">
      <c r="A55" s="162" t="s">
        <v>115</v>
      </c>
      <c r="B55" s="156" t="str">
        <f t="shared" si="2"/>
        <v/>
      </c>
      <c r="C55" s="154">
        <v>54</v>
      </c>
      <c r="D55" s="164" t="s">
        <v>172</v>
      </c>
      <c r="E55" s="164" t="s">
        <v>173</v>
      </c>
      <c r="F55" s="154">
        <v>14450</v>
      </c>
      <c r="J55" s="154" t="s">
        <v>174</v>
      </c>
      <c r="M55" s="154" t="str">
        <f t="shared" ca="1" si="4"/>
        <v/>
      </c>
      <c r="O55" s="154" t="e">
        <f t="shared" ca="1" si="1"/>
        <v>#N/A</v>
      </c>
      <c r="P55" s="154" t="e">
        <f t="shared" ca="1" si="3"/>
        <v>#N/A</v>
      </c>
    </row>
    <row r="56" spans="1:16">
      <c r="A56" s="162" t="s">
        <v>115</v>
      </c>
      <c r="B56" s="156" t="str">
        <f t="shared" si="2"/>
        <v/>
      </c>
      <c r="C56" s="154">
        <v>55</v>
      </c>
      <c r="D56" s="164" t="s">
        <v>175</v>
      </c>
      <c r="E56" s="164" t="s">
        <v>176</v>
      </c>
      <c r="F56" s="154">
        <v>14450</v>
      </c>
      <c r="J56" s="154" t="s">
        <v>174</v>
      </c>
      <c r="M56" s="154" t="str">
        <f t="shared" ca="1" si="4"/>
        <v/>
      </c>
      <c r="O56" s="154" t="e">
        <f t="shared" ca="1" si="1"/>
        <v>#N/A</v>
      </c>
      <c r="P56" s="154" t="e">
        <f t="shared" ca="1" si="3"/>
        <v>#N/A</v>
      </c>
    </row>
    <row r="57" spans="1:16">
      <c r="A57" s="162" t="s">
        <v>115</v>
      </c>
      <c r="B57" s="156" t="str">
        <f t="shared" si="2"/>
        <v/>
      </c>
      <c r="C57" s="154">
        <v>56</v>
      </c>
      <c r="D57" s="164" t="s">
        <v>177</v>
      </c>
      <c r="E57" s="164" t="s">
        <v>178</v>
      </c>
      <c r="M57" s="154" t="str">
        <f t="shared" ca="1" si="4"/>
        <v/>
      </c>
      <c r="O57" s="154" t="e">
        <f t="shared" ca="1" si="1"/>
        <v>#N/A</v>
      </c>
      <c r="P57" s="154" t="e">
        <f t="shared" ca="1" si="3"/>
        <v>#N/A</v>
      </c>
    </row>
    <row r="58" spans="1:16">
      <c r="A58" s="162" t="s">
        <v>115</v>
      </c>
      <c r="B58" s="156" t="str">
        <f t="shared" si="2"/>
        <v/>
      </c>
      <c r="C58" s="154">
        <v>57</v>
      </c>
      <c r="D58" s="164" t="s">
        <v>179</v>
      </c>
      <c r="E58" s="164" t="s">
        <v>180</v>
      </c>
      <c r="M58" s="154" t="str">
        <f t="shared" ca="1" si="4"/>
        <v/>
      </c>
      <c r="O58" s="154" t="e">
        <f t="shared" ca="1" si="1"/>
        <v>#N/A</v>
      </c>
      <c r="P58" s="154" t="e">
        <f t="shared" ca="1" si="3"/>
        <v>#N/A</v>
      </c>
    </row>
    <row r="59" spans="1:16">
      <c r="A59" s="162" t="s">
        <v>115</v>
      </c>
      <c r="B59" s="156" t="str">
        <f>IFERROR(IF(C60="T","x",IF(FIND($A$1,A59,1)&gt;0,"x","")),"")</f>
        <v/>
      </c>
      <c r="C59" s="154">
        <v>58</v>
      </c>
      <c r="D59" s="164" t="s">
        <v>181</v>
      </c>
      <c r="E59" s="164" t="s">
        <v>182</v>
      </c>
      <c r="M59" s="154" t="str">
        <f t="shared" ca="1" si="4"/>
        <v/>
      </c>
      <c r="O59" s="154" t="e">
        <f t="shared" ca="1" si="1"/>
        <v>#N/A</v>
      </c>
      <c r="P59" s="154" t="e">
        <f t="shared" ca="1" si="3"/>
        <v>#N/A</v>
      </c>
    </row>
    <row r="60" spans="1:16">
      <c r="A60" s="162" t="s">
        <v>115</v>
      </c>
      <c r="B60" s="156" t="str">
        <f t="shared" si="2"/>
        <v/>
      </c>
      <c r="C60" s="154">
        <v>59</v>
      </c>
      <c r="D60" s="164" t="s">
        <v>183</v>
      </c>
      <c r="E60" s="164" t="s">
        <v>133</v>
      </c>
      <c r="M60" s="154" t="str">
        <f t="shared" ca="1" si="4"/>
        <v/>
      </c>
      <c r="O60" s="154" t="e">
        <f t="shared" ca="1" si="1"/>
        <v>#N/A</v>
      </c>
      <c r="P60" s="154" t="e">
        <f t="shared" ca="1" si="3"/>
        <v>#N/A</v>
      </c>
    </row>
    <row r="61" spans="1:16">
      <c r="A61" s="162" t="s">
        <v>115</v>
      </c>
      <c r="B61" s="156" t="str">
        <f t="shared" si="2"/>
        <v/>
      </c>
      <c r="C61" s="154">
        <v>60</v>
      </c>
      <c r="D61" s="154" t="s">
        <v>184</v>
      </c>
      <c r="E61" s="154" t="s">
        <v>185</v>
      </c>
      <c r="M61" s="154" t="str">
        <f t="shared" ca="1" si="4"/>
        <v/>
      </c>
      <c r="O61" s="154" t="e">
        <f t="shared" ca="1" si="1"/>
        <v>#N/A</v>
      </c>
      <c r="P61" s="154" t="e">
        <f t="shared" ca="1" si="3"/>
        <v>#N/A</v>
      </c>
    </row>
    <row r="62" spans="1:16">
      <c r="A62" s="162" t="s">
        <v>115</v>
      </c>
      <c r="B62" s="156" t="str">
        <f t="shared" si="2"/>
        <v/>
      </c>
      <c r="C62" s="154">
        <v>61</v>
      </c>
      <c r="D62" s="164" t="s">
        <v>186</v>
      </c>
      <c r="E62" s="154" t="s">
        <v>187</v>
      </c>
      <c r="F62" s="154">
        <v>21400</v>
      </c>
      <c r="G62" s="154">
        <v>16</v>
      </c>
      <c r="M62" s="154" t="str">
        <f t="shared" ca="1" si="4"/>
        <v/>
      </c>
      <c r="O62" s="154" t="e">
        <f t="shared" ca="1" si="1"/>
        <v>#N/A</v>
      </c>
      <c r="P62" s="154" t="e">
        <f t="shared" ca="1" si="3"/>
        <v>#N/A</v>
      </c>
    </row>
    <row r="63" spans="1:16">
      <c r="A63" s="162" t="s">
        <v>160</v>
      </c>
      <c r="B63" s="156" t="str">
        <f t="shared" si="2"/>
        <v>x</v>
      </c>
      <c r="C63" s="154">
        <v>62</v>
      </c>
      <c r="D63" s="205" t="s">
        <v>188</v>
      </c>
      <c r="E63" s="326" t="s">
        <v>189</v>
      </c>
      <c r="F63" s="154">
        <v>0</v>
      </c>
      <c r="G63" s="154">
        <v>0</v>
      </c>
      <c r="H63" s="154">
        <v>0</v>
      </c>
      <c r="I63" s="154">
        <v>0</v>
      </c>
    </row>
    <row r="64" spans="1:16">
      <c r="A64" s="162" t="s">
        <v>160</v>
      </c>
      <c r="B64" s="156" t="str">
        <f t="shared" si="2"/>
        <v>x</v>
      </c>
      <c r="C64" s="154">
        <v>63</v>
      </c>
      <c r="D64" s="205" t="s">
        <v>190</v>
      </c>
      <c r="E64" s="326" t="s">
        <v>191</v>
      </c>
      <c r="F64" s="154">
        <v>0</v>
      </c>
      <c r="G64" s="154">
        <v>0</v>
      </c>
      <c r="H64" s="154">
        <v>0</v>
      </c>
      <c r="I64" s="154">
        <v>0</v>
      </c>
    </row>
    <row r="65" spans="1:16">
      <c r="A65" s="162"/>
      <c r="B65" s="156"/>
      <c r="C65" s="154"/>
      <c r="D65" s="205"/>
      <c r="E65" s="326"/>
      <c r="M65" s="154" t="str">
        <f t="shared" ca="1" si="4"/>
        <v>T Text</v>
      </c>
      <c r="O65" s="154">
        <f t="shared" ca="1" si="1"/>
        <v>1</v>
      </c>
      <c r="P65" s="154">
        <f t="shared" ca="1" si="3"/>
        <v>1</v>
      </c>
    </row>
    <row r="66" spans="1:16">
      <c r="B66" s="156" t="str">
        <f t="shared" si="2"/>
        <v/>
      </c>
      <c r="M66" s="154" t="str">
        <f t="shared" ca="1" si="4"/>
        <v>49 Köp av rotpost, 0% moms</v>
      </c>
      <c r="O66" s="154">
        <f t="shared" ca="1" si="1"/>
        <v>47</v>
      </c>
      <c r="P66" s="154">
        <f t="shared" ca="1" si="3"/>
        <v>48</v>
      </c>
    </row>
    <row r="67" spans="1:16">
      <c r="B67" s="156" t="str">
        <f t="shared" si="2"/>
        <v/>
      </c>
      <c r="M67" s="154" t="str">
        <f t="shared" ca="1" si="4"/>
        <v>50 Förtidig avverkning</v>
      </c>
      <c r="O67" s="154">
        <f t="shared" ca="1" si="1"/>
        <v>1</v>
      </c>
      <c r="P67" s="154">
        <f t="shared" ca="1" si="3"/>
        <v>49</v>
      </c>
    </row>
    <row r="68" spans="1:16">
      <c r="B68" s="156" t="str">
        <f t="shared" si="2"/>
        <v/>
      </c>
      <c r="M68" s="154" t="str">
        <f t="shared" ca="1" si="4"/>
        <v>51 Fördyrad avverkning</v>
      </c>
      <c r="O68" s="154">
        <f t="shared" ref="O68:O131" ca="1" si="5">MATCH("x",OFFSET($B$3:$B$98,P67,),0)</f>
        <v>1</v>
      </c>
      <c r="P68" s="154">
        <f t="shared" ca="1" si="3"/>
        <v>50</v>
      </c>
    </row>
    <row r="69" spans="1:16">
      <c r="B69" s="156" t="str">
        <f t="shared" ref="B69:B81" si="6">IFERROR(IF(C70="T","x",IF(FIND($A$1,A69,1)&gt;0,"x","")),"")</f>
        <v/>
      </c>
      <c r="M69" s="154" t="str">
        <f t="shared" ca="1" si="4"/>
        <v>53 Intrångsersättning</v>
      </c>
      <c r="O69" s="154">
        <f t="shared" ca="1" si="5"/>
        <v>2</v>
      </c>
      <c r="P69" s="154">
        <f t="shared" ref="P69:P132" ca="1" si="7">P68+O69</f>
        <v>52</v>
      </c>
    </row>
    <row r="70" spans="1:16">
      <c r="B70" s="156" t="str">
        <f t="shared" si="6"/>
        <v/>
      </c>
      <c r="M70" s="154" t="str">
        <f t="shared" ca="1" si="4"/>
        <v>62 Särskild ersättning</v>
      </c>
      <c r="O70" s="154">
        <f t="shared" ca="1" si="5"/>
        <v>9</v>
      </c>
      <c r="P70" s="154">
        <f t="shared" ca="1" si="7"/>
        <v>61</v>
      </c>
    </row>
    <row r="71" spans="1:16">
      <c r="B71" s="156" t="str">
        <f t="shared" si="6"/>
        <v/>
      </c>
      <c r="M71" s="205" t="s">
        <v>192</v>
      </c>
      <c r="O71" s="154">
        <f t="shared" ca="1" si="5"/>
        <v>1</v>
      </c>
      <c r="P71" s="154">
        <f t="shared" ca="1" si="7"/>
        <v>62</v>
      </c>
    </row>
    <row r="72" spans="1:16">
      <c r="B72" s="156" t="str">
        <f t="shared" si="6"/>
        <v/>
      </c>
      <c r="M72" s="154" t="str">
        <f t="shared" ca="1" si="4"/>
        <v/>
      </c>
      <c r="O72" s="154" t="e">
        <f t="shared" ca="1" si="5"/>
        <v>#N/A</v>
      </c>
      <c r="P72" s="154" t="e">
        <f t="shared" ca="1" si="7"/>
        <v>#N/A</v>
      </c>
    </row>
    <row r="73" spans="1:16">
      <c r="B73" s="156" t="str">
        <f t="shared" si="6"/>
        <v/>
      </c>
      <c r="M73" s="154" t="str">
        <f t="shared" ca="1" si="4"/>
        <v/>
      </c>
      <c r="O73" s="154" t="e">
        <f t="shared" ca="1" si="5"/>
        <v>#N/A</v>
      </c>
      <c r="P73" s="154" t="e">
        <f t="shared" ca="1" si="7"/>
        <v>#N/A</v>
      </c>
    </row>
    <row r="74" spans="1:16">
      <c r="B74" s="156" t="str">
        <f t="shared" si="6"/>
        <v/>
      </c>
      <c r="M74" s="154" t="str">
        <f t="shared" ca="1" si="4"/>
        <v/>
      </c>
      <c r="O74" s="154" t="e">
        <f t="shared" ca="1" si="5"/>
        <v>#N/A</v>
      </c>
      <c r="P74" s="154" t="e">
        <f t="shared" ca="1" si="7"/>
        <v>#N/A</v>
      </c>
    </row>
    <row r="75" spans="1:16">
      <c r="B75" s="156" t="str">
        <f t="shared" si="6"/>
        <v/>
      </c>
      <c r="M75" s="154" t="str">
        <f t="shared" ca="1" si="4"/>
        <v/>
      </c>
      <c r="O75" s="154" t="e">
        <f t="shared" ca="1" si="5"/>
        <v>#N/A</v>
      </c>
      <c r="P75" s="154" t="e">
        <f t="shared" ca="1" si="7"/>
        <v>#N/A</v>
      </c>
    </row>
    <row r="76" spans="1:16">
      <c r="B76" s="156" t="str">
        <f t="shared" si="6"/>
        <v/>
      </c>
      <c r="M76" s="154" t="str">
        <f t="shared" ca="1" si="4"/>
        <v/>
      </c>
      <c r="O76" s="154" t="e">
        <f t="shared" ca="1" si="5"/>
        <v>#N/A</v>
      </c>
      <c r="P76" s="154" t="e">
        <f t="shared" ca="1" si="7"/>
        <v>#N/A</v>
      </c>
    </row>
    <row r="77" spans="1:16">
      <c r="B77" s="156" t="str">
        <f t="shared" si="6"/>
        <v/>
      </c>
      <c r="M77" s="154" t="str">
        <f t="shared" ca="1" si="4"/>
        <v/>
      </c>
      <c r="O77" s="154" t="e">
        <f t="shared" ca="1" si="5"/>
        <v>#N/A</v>
      </c>
      <c r="P77" s="154" t="e">
        <f t="shared" ca="1" si="7"/>
        <v>#N/A</v>
      </c>
    </row>
    <row r="78" spans="1:16">
      <c r="B78" s="156" t="str">
        <f t="shared" si="6"/>
        <v/>
      </c>
      <c r="M78" s="154" t="str">
        <f t="shared" ca="1" si="4"/>
        <v/>
      </c>
      <c r="O78" s="154" t="e">
        <f t="shared" ca="1" si="5"/>
        <v>#N/A</v>
      </c>
      <c r="P78" s="154" t="e">
        <f t="shared" ca="1" si="7"/>
        <v>#N/A</v>
      </c>
    </row>
    <row r="79" spans="1:16">
      <c r="B79" s="156" t="str">
        <f t="shared" si="6"/>
        <v/>
      </c>
      <c r="M79" s="154" t="str">
        <f t="shared" ca="1" si="4"/>
        <v/>
      </c>
      <c r="O79" s="154" t="e">
        <f t="shared" ca="1" si="5"/>
        <v>#N/A</v>
      </c>
      <c r="P79" s="154" t="e">
        <f t="shared" ca="1" si="7"/>
        <v>#N/A</v>
      </c>
    </row>
    <row r="80" spans="1:16">
      <c r="B80" s="156" t="str">
        <f t="shared" si="6"/>
        <v/>
      </c>
      <c r="M80" s="154" t="str">
        <f t="shared" ca="1" si="4"/>
        <v/>
      </c>
      <c r="O80" s="154" t="e">
        <f t="shared" ca="1" si="5"/>
        <v>#N/A</v>
      </c>
      <c r="P80" s="154" t="e">
        <f t="shared" ca="1" si="7"/>
        <v>#N/A</v>
      </c>
    </row>
    <row r="81" spans="2:16">
      <c r="B81" s="156" t="str">
        <f t="shared" si="6"/>
        <v/>
      </c>
      <c r="M81" s="154" t="str">
        <f t="shared" ca="1" si="4"/>
        <v/>
      </c>
      <c r="O81" s="154" t="e">
        <f t="shared" ca="1" si="5"/>
        <v>#N/A</v>
      </c>
      <c r="P81" s="154" t="e">
        <f t="shared" ca="1" si="7"/>
        <v>#N/A</v>
      </c>
    </row>
    <row r="82" spans="2:16">
      <c r="B82" s="156" t="str">
        <f t="shared" ref="B82:B145" si="8">IFERROR(IF(C83="T","x",IF(FIND($A$1,A83,1)&gt;0,"x","")),"")</f>
        <v/>
      </c>
      <c r="M82" s="154" t="str">
        <f t="shared" ca="1" si="4"/>
        <v/>
      </c>
      <c r="O82" s="154" t="e">
        <f t="shared" ca="1" si="5"/>
        <v>#N/A</v>
      </c>
      <c r="P82" s="154" t="e">
        <f t="shared" ca="1" si="7"/>
        <v>#N/A</v>
      </c>
    </row>
    <row r="83" spans="2:16">
      <c r="B83" s="156" t="str">
        <f t="shared" si="8"/>
        <v/>
      </c>
      <c r="M83" s="154" t="str">
        <f t="shared" ca="1" si="4"/>
        <v/>
      </c>
      <c r="O83" s="154" t="e">
        <f t="shared" ca="1" si="5"/>
        <v>#N/A</v>
      </c>
      <c r="P83" s="154" t="e">
        <f t="shared" ca="1" si="7"/>
        <v>#N/A</v>
      </c>
    </row>
    <row r="84" spans="2:16">
      <c r="B84" s="156" t="str">
        <f t="shared" si="8"/>
        <v/>
      </c>
      <c r="M84" s="154" t="str">
        <f t="shared" ca="1" si="4"/>
        <v/>
      </c>
      <c r="O84" s="154" t="e">
        <f t="shared" ca="1" si="5"/>
        <v>#N/A</v>
      </c>
      <c r="P84" s="154" t="e">
        <f t="shared" ca="1" si="7"/>
        <v>#N/A</v>
      </c>
    </row>
    <row r="85" spans="2:16">
      <c r="B85" s="156" t="str">
        <f t="shared" si="8"/>
        <v/>
      </c>
      <c r="M85" s="154" t="str">
        <f t="shared" ca="1" si="4"/>
        <v/>
      </c>
      <c r="O85" s="154" t="e">
        <f t="shared" ca="1" si="5"/>
        <v>#N/A</v>
      </c>
      <c r="P85" s="154" t="e">
        <f t="shared" ca="1" si="7"/>
        <v>#N/A</v>
      </c>
    </row>
    <row r="86" spans="2:16">
      <c r="B86" s="156" t="str">
        <f t="shared" si="8"/>
        <v/>
      </c>
      <c r="M86" s="154" t="str">
        <f t="shared" ca="1" si="4"/>
        <v/>
      </c>
      <c r="O86" s="154" t="e">
        <f t="shared" ca="1" si="5"/>
        <v>#N/A</v>
      </c>
      <c r="P86" s="154" t="e">
        <f t="shared" ca="1" si="7"/>
        <v>#N/A</v>
      </c>
    </row>
    <row r="87" spans="2:16">
      <c r="B87" s="156" t="str">
        <f t="shared" si="8"/>
        <v/>
      </c>
      <c r="M87" s="154" t="str">
        <f t="shared" ca="1" si="4"/>
        <v/>
      </c>
      <c r="O87" s="154" t="e">
        <f t="shared" ca="1" si="5"/>
        <v>#N/A</v>
      </c>
      <c r="P87" s="154" t="e">
        <f t="shared" ca="1" si="7"/>
        <v>#N/A</v>
      </c>
    </row>
    <row r="88" spans="2:16">
      <c r="B88" s="156" t="str">
        <f t="shared" si="8"/>
        <v/>
      </c>
      <c r="M88" s="154" t="str">
        <f t="shared" ca="1" si="4"/>
        <v/>
      </c>
      <c r="O88" s="154" t="e">
        <f t="shared" ca="1" si="5"/>
        <v>#N/A</v>
      </c>
      <c r="P88" s="154" t="e">
        <f t="shared" ca="1" si="7"/>
        <v>#N/A</v>
      </c>
    </row>
    <row r="89" spans="2:16">
      <c r="B89" s="156" t="str">
        <f t="shared" si="8"/>
        <v/>
      </c>
      <c r="M89" s="154" t="str">
        <f t="shared" ca="1" si="4"/>
        <v/>
      </c>
      <c r="O89" s="154" t="e">
        <f t="shared" ca="1" si="5"/>
        <v>#N/A</v>
      </c>
      <c r="P89" s="154" t="e">
        <f t="shared" ca="1" si="7"/>
        <v>#N/A</v>
      </c>
    </row>
    <row r="90" spans="2:16">
      <c r="B90" s="156" t="str">
        <f t="shared" si="8"/>
        <v/>
      </c>
      <c r="M90" s="154" t="str">
        <f t="shared" ca="1" si="4"/>
        <v/>
      </c>
      <c r="O90" s="154" t="e">
        <f t="shared" ca="1" si="5"/>
        <v>#N/A</v>
      </c>
      <c r="P90" s="154" t="e">
        <f t="shared" ca="1" si="7"/>
        <v>#N/A</v>
      </c>
    </row>
    <row r="91" spans="2:16">
      <c r="B91" s="156" t="str">
        <f t="shared" si="8"/>
        <v/>
      </c>
      <c r="M91" s="154" t="str">
        <f t="shared" ca="1" si="4"/>
        <v/>
      </c>
      <c r="O91" s="154" t="e">
        <f t="shared" ca="1" si="5"/>
        <v>#N/A</v>
      </c>
      <c r="P91" s="154" t="e">
        <f t="shared" ca="1" si="7"/>
        <v>#N/A</v>
      </c>
    </row>
    <row r="92" spans="2:16">
      <c r="B92" s="156" t="str">
        <f t="shared" si="8"/>
        <v/>
      </c>
      <c r="M92" s="154" t="str">
        <f t="shared" ca="1" si="4"/>
        <v/>
      </c>
      <c r="O92" s="154" t="e">
        <f t="shared" ca="1" si="5"/>
        <v>#N/A</v>
      </c>
      <c r="P92" s="154" t="e">
        <f t="shared" ca="1" si="7"/>
        <v>#N/A</v>
      </c>
    </row>
    <row r="93" spans="2:16">
      <c r="B93" s="156" t="str">
        <f t="shared" si="8"/>
        <v/>
      </c>
      <c r="M93" s="154" t="str">
        <f t="shared" ref="M93:M156" ca="1" si="9">IFERROR(INDEX($C$3:$C$98,P93)&amp;" " &amp;INDEX($D$3:$D$98,P93),"")</f>
        <v/>
      </c>
      <c r="O93" s="154" t="e">
        <f t="shared" ca="1" si="5"/>
        <v>#N/A</v>
      </c>
      <c r="P93" s="154" t="e">
        <f t="shared" ca="1" si="7"/>
        <v>#N/A</v>
      </c>
    </row>
    <row r="94" spans="2:16">
      <c r="B94" s="156" t="str">
        <f t="shared" si="8"/>
        <v/>
      </c>
      <c r="M94" s="154" t="str">
        <f t="shared" ca="1" si="9"/>
        <v/>
      </c>
      <c r="O94" s="154" t="e">
        <f t="shared" ca="1" si="5"/>
        <v>#N/A</v>
      </c>
      <c r="P94" s="154" t="e">
        <f t="shared" ca="1" si="7"/>
        <v>#N/A</v>
      </c>
    </row>
    <row r="95" spans="2:16">
      <c r="B95" s="156" t="str">
        <f t="shared" si="8"/>
        <v/>
      </c>
      <c r="M95" s="154" t="str">
        <f t="shared" ca="1" si="9"/>
        <v/>
      </c>
      <c r="O95" s="154" t="e">
        <f t="shared" ca="1" si="5"/>
        <v>#N/A</v>
      </c>
      <c r="P95" s="154" t="e">
        <f t="shared" ca="1" si="7"/>
        <v>#N/A</v>
      </c>
    </row>
    <row r="96" spans="2:16">
      <c r="B96" s="156" t="str">
        <f t="shared" si="8"/>
        <v/>
      </c>
      <c r="M96" s="154" t="str">
        <f t="shared" ca="1" si="9"/>
        <v/>
      </c>
      <c r="O96" s="154" t="e">
        <f t="shared" ca="1" si="5"/>
        <v>#N/A</v>
      </c>
      <c r="P96" s="154" t="e">
        <f t="shared" ca="1" si="7"/>
        <v>#N/A</v>
      </c>
    </row>
    <row r="97" spans="2:16">
      <c r="B97" s="156" t="str">
        <f t="shared" si="8"/>
        <v/>
      </c>
      <c r="M97" s="154" t="str">
        <f t="shared" ca="1" si="9"/>
        <v/>
      </c>
      <c r="O97" s="154" t="e">
        <f t="shared" ca="1" si="5"/>
        <v>#N/A</v>
      </c>
      <c r="P97" s="154" t="e">
        <f t="shared" ca="1" si="7"/>
        <v>#N/A</v>
      </c>
    </row>
    <row r="98" spans="2:16">
      <c r="B98" s="156" t="str">
        <f t="shared" si="8"/>
        <v/>
      </c>
      <c r="M98" s="154" t="str">
        <f t="shared" ca="1" si="9"/>
        <v/>
      </c>
      <c r="O98" s="154" t="e">
        <f t="shared" ca="1" si="5"/>
        <v>#N/A</v>
      </c>
      <c r="P98" s="154" t="e">
        <f t="shared" ca="1" si="7"/>
        <v>#N/A</v>
      </c>
    </row>
    <row r="99" spans="2:16">
      <c r="B99" s="156" t="str">
        <f t="shared" si="8"/>
        <v/>
      </c>
      <c r="M99" s="154" t="str">
        <f t="shared" ca="1" si="9"/>
        <v/>
      </c>
      <c r="O99" s="154" t="e">
        <f t="shared" ca="1" si="5"/>
        <v>#N/A</v>
      </c>
      <c r="P99" s="154" t="e">
        <f t="shared" ca="1" si="7"/>
        <v>#N/A</v>
      </c>
    </row>
    <row r="100" spans="2:16">
      <c r="B100" s="156" t="str">
        <f t="shared" si="8"/>
        <v/>
      </c>
      <c r="M100" s="154" t="str">
        <f t="shared" ca="1" si="9"/>
        <v/>
      </c>
      <c r="O100" s="154" t="e">
        <f t="shared" ca="1" si="5"/>
        <v>#N/A</v>
      </c>
      <c r="P100" s="154" t="e">
        <f t="shared" ca="1" si="7"/>
        <v>#N/A</v>
      </c>
    </row>
    <row r="101" spans="2:16">
      <c r="B101" s="156" t="str">
        <f t="shared" si="8"/>
        <v/>
      </c>
      <c r="M101" s="154" t="str">
        <f t="shared" ca="1" si="9"/>
        <v/>
      </c>
      <c r="O101" s="154" t="e">
        <f t="shared" ca="1" si="5"/>
        <v>#N/A</v>
      </c>
      <c r="P101" s="154" t="e">
        <f t="shared" ca="1" si="7"/>
        <v>#N/A</v>
      </c>
    </row>
    <row r="102" spans="2:16">
      <c r="B102" s="156" t="str">
        <f t="shared" si="8"/>
        <v/>
      </c>
      <c r="M102" s="154" t="str">
        <f t="shared" ca="1" si="9"/>
        <v/>
      </c>
      <c r="O102" s="154" t="e">
        <f t="shared" ca="1" si="5"/>
        <v>#N/A</v>
      </c>
      <c r="P102" s="154" t="e">
        <f t="shared" ca="1" si="7"/>
        <v>#N/A</v>
      </c>
    </row>
    <row r="103" spans="2:16">
      <c r="B103" s="156" t="str">
        <f t="shared" si="8"/>
        <v/>
      </c>
      <c r="M103" s="154" t="str">
        <f t="shared" ca="1" si="9"/>
        <v/>
      </c>
      <c r="O103" s="154" t="e">
        <f t="shared" ca="1" si="5"/>
        <v>#N/A</v>
      </c>
      <c r="P103" s="154" t="e">
        <f t="shared" ca="1" si="7"/>
        <v>#N/A</v>
      </c>
    </row>
    <row r="104" spans="2:16">
      <c r="B104" s="156" t="str">
        <f t="shared" si="8"/>
        <v/>
      </c>
      <c r="M104" s="154" t="str">
        <f t="shared" ca="1" si="9"/>
        <v/>
      </c>
      <c r="O104" s="154" t="e">
        <f t="shared" ca="1" si="5"/>
        <v>#N/A</v>
      </c>
      <c r="P104" s="154" t="e">
        <f t="shared" ca="1" si="7"/>
        <v>#N/A</v>
      </c>
    </row>
    <row r="105" spans="2:16">
      <c r="B105" s="156" t="str">
        <f t="shared" si="8"/>
        <v/>
      </c>
      <c r="M105" s="154" t="str">
        <f t="shared" ca="1" si="9"/>
        <v/>
      </c>
      <c r="O105" s="154" t="e">
        <f t="shared" ca="1" si="5"/>
        <v>#N/A</v>
      </c>
      <c r="P105" s="154" t="e">
        <f t="shared" ca="1" si="7"/>
        <v>#N/A</v>
      </c>
    </row>
    <row r="106" spans="2:16">
      <c r="B106" s="156" t="str">
        <f t="shared" si="8"/>
        <v/>
      </c>
      <c r="M106" s="154" t="str">
        <f t="shared" ca="1" si="9"/>
        <v/>
      </c>
      <c r="O106" s="154" t="e">
        <f t="shared" ca="1" si="5"/>
        <v>#N/A</v>
      </c>
      <c r="P106" s="154" t="e">
        <f t="shared" ca="1" si="7"/>
        <v>#N/A</v>
      </c>
    </row>
    <row r="107" spans="2:16">
      <c r="B107" s="156" t="str">
        <f t="shared" si="8"/>
        <v/>
      </c>
      <c r="M107" s="154" t="str">
        <f t="shared" ca="1" si="9"/>
        <v/>
      </c>
      <c r="O107" s="154" t="e">
        <f t="shared" ca="1" si="5"/>
        <v>#N/A</v>
      </c>
      <c r="P107" s="154" t="e">
        <f t="shared" ca="1" si="7"/>
        <v>#N/A</v>
      </c>
    </row>
    <row r="108" spans="2:16">
      <c r="B108" s="156" t="str">
        <f t="shared" si="8"/>
        <v/>
      </c>
      <c r="M108" s="154" t="str">
        <f t="shared" ca="1" si="9"/>
        <v/>
      </c>
      <c r="O108" s="154" t="e">
        <f t="shared" ca="1" si="5"/>
        <v>#N/A</v>
      </c>
      <c r="P108" s="154" t="e">
        <f t="shared" ca="1" si="7"/>
        <v>#N/A</v>
      </c>
    </row>
    <row r="109" spans="2:16">
      <c r="B109" s="156" t="str">
        <f t="shared" si="8"/>
        <v/>
      </c>
      <c r="M109" s="154" t="str">
        <f t="shared" ca="1" si="9"/>
        <v/>
      </c>
      <c r="O109" s="154" t="e">
        <f t="shared" ca="1" si="5"/>
        <v>#N/A</v>
      </c>
      <c r="P109" s="154" t="e">
        <f t="shared" ca="1" si="7"/>
        <v>#N/A</v>
      </c>
    </row>
    <row r="110" spans="2:16">
      <c r="B110" s="156" t="str">
        <f t="shared" si="8"/>
        <v/>
      </c>
      <c r="M110" s="154" t="str">
        <f t="shared" ca="1" si="9"/>
        <v/>
      </c>
      <c r="O110" s="154" t="e">
        <f t="shared" ca="1" si="5"/>
        <v>#N/A</v>
      </c>
      <c r="P110" s="154" t="e">
        <f t="shared" ca="1" si="7"/>
        <v>#N/A</v>
      </c>
    </row>
    <row r="111" spans="2:16">
      <c r="B111" s="156" t="str">
        <f t="shared" si="8"/>
        <v/>
      </c>
      <c r="M111" s="154" t="str">
        <f t="shared" ca="1" si="9"/>
        <v/>
      </c>
      <c r="O111" s="154" t="e">
        <f t="shared" ca="1" si="5"/>
        <v>#N/A</v>
      </c>
      <c r="P111" s="154" t="e">
        <f t="shared" ca="1" si="7"/>
        <v>#N/A</v>
      </c>
    </row>
    <row r="112" spans="2:16">
      <c r="B112" s="156" t="str">
        <f t="shared" si="8"/>
        <v/>
      </c>
      <c r="M112" s="154" t="str">
        <f t="shared" ca="1" si="9"/>
        <v/>
      </c>
      <c r="O112" s="154" t="e">
        <f t="shared" ca="1" si="5"/>
        <v>#N/A</v>
      </c>
      <c r="P112" s="154" t="e">
        <f t="shared" ca="1" si="7"/>
        <v>#N/A</v>
      </c>
    </row>
    <row r="113" spans="2:16">
      <c r="B113" s="156" t="str">
        <f t="shared" si="8"/>
        <v/>
      </c>
      <c r="M113" s="154" t="str">
        <f t="shared" ca="1" si="9"/>
        <v/>
      </c>
      <c r="O113" s="154" t="e">
        <f t="shared" ca="1" si="5"/>
        <v>#N/A</v>
      </c>
      <c r="P113" s="154" t="e">
        <f t="shared" ca="1" si="7"/>
        <v>#N/A</v>
      </c>
    </row>
    <row r="114" spans="2:16">
      <c r="B114" s="156" t="str">
        <f t="shared" si="8"/>
        <v/>
      </c>
      <c r="M114" s="154" t="str">
        <f t="shared" ca="1" si="9"/>
        <v/>
      </c>
      <c r="O114" s="154" t="e">
        <f t="shared" ca="1" si="5"/>
        <v>#N/A</v>
      </c>
      <c r="P114" s="154" t="e">
        <f t="shared" ca="1" si="7"/>
        <v>#N/A</v>
      </c>
    </row>
    <row r="115" spans="2:16">
      <c r="B115" s="156" t="str">
        <f t="shared" si="8"/>
        <v/>
      </c>
      <c r="M115" s="154" t="str">
        <f t="shared" ca="1" si="9"/>
        <v/>
      </c>
      <c r="O115" s="154" t="e">
        <f t="shared" ca="1" si="5"/>
        <v>#N/A</v>
      </c>
      <c r="P115" s="154" t="e">
        <f t="shared" ca="1" si="7"/>
        <v>#N/A</v>
      </c>
    </row>
    <row r="116" spans="2:16">
      <c r="B116" s="156" t="str">
        <f t="shared" si="8"/>
        <v/>
      </c>
      <c r="M116" s="154" t="str">
        <f t="shared" ca="1" si="9"/>
        <v/>
      </c>
      <c r="O116" s="154" t="e">
        <f t="shared" ca="1" si="5"/>
        <v>#N/A</v>
      </c>
      <c r="P116" s="154" t="e">
        <f t="shared" ca="1" si="7"/>
        <v>#N/A</v>
      </c>
    </row>
    <row r="117" spans="2:16">
      <c r="B117" s="156" t="str">
        <f t="shared" si="8"/>
        <v/>
      </c>
      <c r="M117" s="154" t="str">
        <f t="shared" ca="1" si="9"/>
        <v/>
      </c>
      <c r="O117" s="154" t="e">
        <f t="shared" ca="1" si="5"/>
        <v>#N/A</v>
      </c>
      <c r="P117" s="154" t="e">
        <f t="shared" ca="1" si="7"/>
        <v>#N/A</v>
      </c>
    </row>
    <row r="118" spans="2:16">
      <c r="B118" s="156" t="str">
        <f t="shared" si="8"/>
        <v/>
      </c>
      <c r="M118" s="154" t="str">
        <f t="shared" ca="1" si="9"/>
        <v/>
      </c>
      <c r="O118" s="154" t="e">
        <f t="shared" ca="1" si="5"/>
        <v>#N/A</v>
      </c>
      <c r="P118" s="154" t="e">
        <f t="shared" ca="1" si="7"/>
        <v>#N/A</v>
      </c>
    </row>
    <row r="119" spans="2:16">
      <c r="B119" s="156" t="str">
        <f t="shared" si="8"/>
        <v/>
      </c>
      <c r="M119" s="154" t="str">
        <f t="shared" ca="1" si="9"/>
        <v/>
      </c>
      <c r="O119" s="154" t="e">
        <f t="shared" ca="1" si="5"/>
        <v>#N/A</v>
      </c>
      <c r="P119" s="154" t="e">
        <f t="shared" ca="1" si="7"/>
        <v>#N/A</v>
      </c>
    </row>
    <row r="120" spans="2:16">
      <c r="B120" s="156" t="str">
        <f t="shared" si="8"/>
        <v/>
      </c>
      <c r="M120" s="154" t="str">
        <f t="shared" ca="1" si="9"/>
        <v/>
      </c>
      <c r="O120" s="154" t="e">
        <f t="shared" ca="1" si="5"/>
        <v>#N/A</v>
      </c>
      <c r="P120" s="154" t="e">
        <f t="shared" ca="1" si="7"/>
        <v>#N/A</v>
      </c>
    </row>
    <row r="121" spans="2:16">
      <c r="B121" s="156" t="str">
        <f t="shared" si="8"/>
        <v/>
      </c>
      <c r="M121" s="154" t="str">
        <f t="shared" ca="1" si="9"/>
        <v/>
      </c>
      <c r="O121" s="154" t="e">
        <f t="shared" ca="1" si="5"/>
        <v>#N/A</v>
      </c>
      <c r="P121" s="154" t="e">
        <f t="shared" ca="1" si="7"/>
        <v>#N/A</v>
      </c>
    </row>
    <row r="122" spans="2:16">
      <c r="B122" s="156" t="str">
        <f t="shared" si="8"/>
        <v/>
      </c>
      <c r="M122" s="154" t="str">
        <f t="shared" ca="1" si="9"/>
        <v/>
      </c>
      <c r="O122" s="154" t="e">
        <f t="shared" ca="1" si="5"/>
        <v>#N/A</v>
      </c>
      <c r="P122" s="154" t="e">
        <f t="shared" ca="1" si="7"/>
        <v>#N/A</v>
      </c>
    </row>
    <row r="123" spans="2:16">
      <c r="B123" s="156" t="str">
        <f t="shared" si="8"/>
        <v/>
      </c>
      <c r="M123" s="154" t="str">
        <f t="shared" ca="1" si="9"/>
        <v/>
      </c>
      <c r="O123" s="154" t="e">
        <f t="shared" ca="1" si="5"/>
        <v>#N/A</v>
      </c>
      <c r="P123" s="154" t="e">
        <f t="shared" ca="1" si="7"/>
        <v>#N/A</v>
      </c>
    </row>
    <row r="124" spans="2:16">
      <c r="B124" s="156" t="str">
        <f t="shared" si="8"/>
        <v/>
      </c>
      <c r="M124" s="154" t="str">
        <f t="shared" ca="1" si="9"/>
        <v/>
      </c>
      <c r="O124" s="154" t="e">
        <f t="shared" ca="1" si="5"/>
        <v>#N/A</v>
      </c>
      <c r="P124" s="154" t="e">
        <f t="shared" ca="1" si="7"/>
        <v>#N/A</v>
      </c>
    </row>
    <row r="125" spans="2:16">
      <c r="B125" s="156" t="str">
        <f t="shared" si="8"/>
        <v/>
      </c>
      <c r="M125" s="154" t="str">
        <f t="shared" ca="1" si="9"/>
        <v/>
      </c>
      <c r="O125" s="154" t="e">
        <f t="shared" ca="1" si="5"/>
        <v>#N/A</v>
      </c>
      <c r="P125" s="154" t="e">
        <f t="shared" ca="1" si="7"/>
        <v>#N/A</v>
      </c>
    </row>
    <row r="126" spans="2:16">
      <c r="B126" s="156" t="str">
        <f t="shared" si="8"/>
        <v/>
      </c>
      <c r="M126" s="154" t="str">
        <f t="shared" ca="1" si="9"/>
        <v/>
      </c>
      <c r="O126" s="154" t="e">
        <f t="shared" ca="1" si="5"/>
        <v>#N/A</v>
      </c>
      <c r="P126" s="154" t="e">
        <f t="shared" ca="1" si="7"/>
        <v>#N/A</v>
      </c>
    </row>
    <row r="127" spans="2:16">
      <c r="B127" s="156" t="str">
        <f t="shared" si="8"/>
        <v/>
      </c>
      <c r="M127" s="154" t="str">
        <f t="shared" ca="1" si="9"/>
        <v/>
      </c>
      <c r="O127" s="154" t="e">
        <f t="shared" ca="1" si="5"/>
        <v>#N/A</v>
      </c>
      <c r="P127" s="154" t="e">
        <f t="shared" ca="1" si="7"/>
        <v>#N/A</v>
      </c>
    </row>
    <row r="128" spans="2:16">
      <c r="B128" s="156" t="str">
        <f t="shared" si="8"/>
        <v/>
      </c>
      <c r="M128" s="154" t="str">
        <f t="shared" ca="1" si="9"/>
        <v/>
      </c>
      <c r="O128" s="154" t="e">
        <f t="shared" ca="1" si="5"/>
        <v>#N/A</v>
      </c>
      <c r="P128" s="154" t="e">
        <f t="shared" ca="1" si="7"/>
        <v>#N/A</v>
      </c>
    </row>
    <row r="129" spans="2:16">
      <c r="B129" s="156" t="str">
        <f t="shared" si="8"/>
        <v/>
      </c>
      <c r="M129" s="154" t="str">
        <f t="shared" ca="1" si="9"/>
        <v/>
      </c>
      <c r="O129" s="154" t="e">
        <f t="shared" ca="1" si="5"/>
        <v>#N/A</v>
      </c>
      <c r="P129" s="154" t="e">
        <f t="shared" ca="1" si="7"/>
        <v>#N/A</v>
      </c>
    </row>
    <row r="130" spans="2:16">
      <c r="B130" s="156" t="str">
        <f t="shared" si="8"/>
        <v/>
      </c>
      <c r="M130" s="154" t="str">
        <f t="shared" ca="1" si="9"/>
        <v/>
      </c>
      <c r="O130" s="154" t="e">
        <f t="shared" ca="1" si="5"/>
        <v>#N/A</v>
      </c>
      <c r="P130" s="154" t="e">
        <f t="shared" ca="1" si="7"/>
        <v>#N/A</v>
      </c>
    </row>
    <row r="131" spans="2:16">
      <c r="B131" s="156" t="str">
        <f t="shared" si="8"/>
        <v/>
      </c>
      <c r="M131" s="154" t="str">
        <f t="shared" ca="1" si="9"/>
        <v/>
      </c>
      <c r="O131" s="154" t="e">
        <f t="shared" ca="1" si="5"/>
        <v>#N/A</v>
      </c>
      <c r="P131" s="154" t="e">
        <f t="shared" ca="1" si="7"/>
        <v>#N/A</v>
      </c>
    </row>
    <row r="132" spans="2:16">
      <c r="B132" s="156" t="str">
        <f t="shared" si="8"/>
        <v/>
      </c>
      <c r="M132" s="154" t="str">
        <f t="shared" ca="1" si="9"/>
        <v/>
      </c>
      <c r="O132" s="154" t="e">
        <f t="shared" ref="O132:O195" ca="1" si="10">MATCH("x",OFFSET($B$3:$B$98,P131,),0)</f>
        <v>#N/A</v>
      </c>
      <c r="P132" s="154" t="e">
        <f t="shared" ca="1" si="7"/>
        <v>#N/A</v>
      </c>
    </row>
    <row r="133" spans="2:16">
      <c r="B133" s="156" t="str">
        <f t="shared" si="8"/>
        <v/>
      </c>
      <c r="M133" s="154" t="str">
        <f t="shared" ca="1" si="9"/>
        <v/>
      </c>
      <c r="O133" s="154" t="e">
        <f t="shared" ca="1" si="10"/>
        <v>#N/A</v>
      </c>
      <c r="P133" s="154" t="e">
        <f t="shared" ref="P133:P196" ca="1" si="11">P132+O133</f>
        <v>#N/A</v>
      </c>
    </row>
    <row r="134" spans="2:16">
      <c r="B134" s="156" t="str">
        <f t="shared" si="8"/>
        <v/>
      </c>
      <c r="M134" s="154" t="str">
        <f t="shared" ca="1" si="9"/>
        <v/>
      </c>
      <c r="O134" s="154" t="e">
        <f t="shared" ca="1" si="10"/>
        <v>#N/A</v>
      </c>
      <c r="P134" s="154" t="e">
        <f t="shared" ca="1" si="11"/>
        <v>#N/A</v>
      </c>
    </row>
    <row r="135" spans="2:16">
      <c r="B135" s="156" t="str">
        <f t="shared" si="8"/>
        <v/>
      </c>
      <c r="M135" s="154" t="str">
        <f t="shared" ca="1" si="9"/>
        <v/>
      </c>
      <c r="O135" s="154" t="e">
        <f t="shared" ca="1" si="10"/>
        <v>#N/A</v>
      </c>
      <c r="P135" s="154" t="e">
        <f t="shared" ca="1" si="11"/>
        <v>#N/A</v>
      </c>
    </row>
    <row r="136" spans="2:16">
      <c r="B136" s="156" t="str">
        <f t="shared" si="8"/>
        <v/>
      </c>
      <c r="M136" s="154" t="str">
        <f t="shared" ca="1" si="9"/>
        <v/>
      </c>
      <c r="O136" s="154" t="e">
        <f t="shared" ca="1" si="10"/>
        <v>#N/A</v>
      </c>
      <c r="P136" s="154" t="e">
        <f t="shared" ca="1" si="11"/>
        <v>#N/A</v>
      </c>
    </row>
    <row r="137" spans="2:16">
      <c r="B137" s="156" t="str">
        <f t="shared" si="8"/>
        <v/>
      </c>
      <c r="M137" s="154" t="str">
        <f t="shared" ca="1" si="9"/>
        <v/>
      </c>
      <c r="O137" s="154" t="e">
        <f t="shared" ca="1" si="10"/>
        <v>#N/A</v>
      </c>
      <c r="P137" s="154" t="e">
        <f t="shared" ca="1" si="11"/>
        <v>#N/A</v>
      </c>
    </row>
    <row r="138" spans="2:16">
      <c r="B138" s="156" t="str">
        <f t="shared" si="8"/>
        <v/>
      </c>
      <c r="M138" s="154" t="str">
        <f t="shared" ca="1" si="9"/>
        <v/>
      </c>
      <c r="O138" s="154" t="e">
        <f t="shared" ca="1" si="10"/>
        <v>#N/A</v>
      </c>
      <c r="P138" s="154" t="e">
        <f t="shared" ca="1" si="11"/>
        <v>#N/A</v>
      </c>
    </row>
    <row r="139" spans="2:16">
      <c r="B139" s="156" t="str">
        <f t="shared" si="8"/>
        <v/>
      </c>
      <c r="M139" s="154" t="str">
        <f t="shared" ca="1" si="9"/>
        <v/>
      </c>
      <c r="O139" s="154" t="e">
        <f t="shared" ca="1" si="10"/>
        <v>#N/A</v>
      </c>
      <c r="P139" s="154" t="e">
        <f t="shared" ca="1" si="11"/>
        <v>#N/A</v>
      </c>
    </row>
    <row r="140" spans="2:16">
      <c r="B140" s="156" t="str">
        <f t="shared" si="8"/>
        <v/>
      </c>
      <c r="M140" s="154" t="str">
        <f t="shared" ca="1" si="9"/>
        <v/>
      </c>
      <c r="O140" s="154" t="e">
        <f t="shared" ca="1" si="10"/>
        <v>#N/A</v>
      </c>
      <c r="P140" s="154" t="e">
        <f t="shared" ca="1" si="11"/>
        <v>#N/A</v>
      </c>
    </row>
    <row r="141" spans="2:16">
      <c r="B141" s="156" t="str">
        <f t="shared" si="8"/>
        <v/>
      </c>
      <c r="M141" s="154" t="str">
        <f t="shared" ca="1" si="9"/>
        <v/>
      </c>
      <c r="O141" s="154" t="e">
        <f t="shared" ca="1" si="10"/>
        <v>#N/A</v>
      </c>
      <c r="P141" s="154" t="e">
        <f t="shared" ca="1" si="11"/>
        <v>#N/A</v>
      </c>
    </row>
    <row r="142" spans="2:16">
      <c r="B142" s="156" t="str">
        <f t="shared" si="8"/>
        <v/>
      </c>
      <c r="M142" s="154" t="str">
        <f t="shared" ca="1" si="9"/>
        <v/>
      </c>
      <c r="O142" s="154" t="e">
        <f t="shared" ca="1" si="10"/>
        <v>#N/A</v>
      </c>
      <c r="P142" s="154" t="e">
        <f t="shared" ca="1" si="11"/>
        <v>#N/A</v>
      </c>
    </row>
    <row r="143" spans="2:16">
      <c r="B143" s="156" t="str">
        <f t="shared" si="8"/>
        <v/>
      </c>
      <c r="M143" s="154" t="str">
        <f t="shared" ca="1" si="9"/>
        <v/>
      </c>
      <c r="O143" s="154" t="e">
        <f t="shared" ca="1" si="10"/>
        <v>#N/A</v>
      </c>
      <c r="P143" s="154" t="e">
        <f t="shared" ca="1" si="11"/>
        <v>#N/A</v>
      </c>
    </row>
    <row r="144" spans="2:16">
      <c r="B144" s="156" t="str">
        <f t="shared" si="8"/>
        <v/>
      </c>
      <c r="M144" s="154" t="str">
        <f t="shared" ca="1" si="9"/>
        <v/>
      </c>
      <c r="O144" s="154" t="e">
        <f t="shared" ca="1" si="10"/>
        <v>#N/A</v>
      </c>
      <c r="P144" s="154" t="e">
        <f t="shared" ca="1" si="11"/>
        <v>#N/A</v>
      </c>
    </row>
    <row r="145" spans="2:16">
      <c r="B145" s="156" t="str">
        <f t="shared" si="8"/>
        <v/>
      </c>
      <c r="M145" s="154" t="str">
        <f t="shared" ca="1" si="9"/>
        <v/>
      </c>
      <c r="O145" s="154" t="e">
        <f t="shared" ca="1" si="10"/>
        <v>#N/A</v>
      </c>
      <c r="P145" s="154" t="e">
        <f t="shared" ca="1" si="11"/>
        <v>#N/A</v>
      </c>
    </row>
    <row r="146" spans="2:16">
      <c r="B146" s="156" t="str">
        <f t="shared" ref="B146:B197" si="12">IFERROR(IF(C147="T","x",IF(FIND($A$1,A147,1)&gt;0,"x","")),"")</f>
        <v/>
      </c>
      <c r="M146" s="154" t="str">
        <f t="shared" ca="1" si="9"/>
        <v/>
      </c>
      <c r="O146" s="154" t="e">
        <f t="shared" ca="1" si="10"/>
        <v>#N/A</v>
      </c>
      <c r="P146" s="154" t="e">
        <f t="shared" ca="1" si="11"/>
        <v>#N/A</v>
      </c>
    </row>
    <row r="147" spans="2:16">
      <c r="B147" s="156" t="str">
        <f t="shared" si="12"/>
        <v/>
      </c>
      <c r="M147" s="154" t="str">
        <f t="shared" ca="1" si="9"/>
        <v/>
      </c>
      <c r="O147" s="154" t="e">
        <f t="shared" ca="1" si="10"/>
        <v>#N/A</v>
      </c>
      <c r="P147" s="154" t="e">
        <f t="shared" ca="1" si="11"/>
        <v>#N/A</v>
      </c>
    </row>
    <row r="148" spans="2:16">
      <c r="B148" s="156" t="str">
        <f t="shared" si="12"/>
        <v/>
      </c>
      <c r="M148" s="154" t="str">
        <f t="shared" ca="1" si="9"/>
        <v/>
      </c>
      <c r="O148" s="154" t="e">
        <f t="shared" ca="1" si="10"/>
        <v>#N/A</v>
      </c>
      <c r="P148" s="154" t="e">
        <f t="shared" ca="1" si="11"/>
        <v>#N/A</v>
      </c>
    </row>
    <row r="149" spans="2:16">
      <c r="B149" s="156" t="str">
        <f t="shared" si="12"/>
        <v/>
      </c>
      <c r="M149" s="154" t="str">
        <f t="shared" ca="1" si="9"/>
        <v/>
      </c>
      <c r="O149" s="154" t="e">
        <f t="shared" ca="1" si="10"/>
        <v>#N/A</v>
      </c>
      <c r="P149" s="154" t="e">
        <f t="shared" ca="1" si="11"/>
        <v>#N/A</v>
      </c>
    </row>
    <row r="150" spans="2:16">
      <c r="B150" s="156" t="str">
        <f t="shared" si="12"/>
        <v/>
      </c>
      <c r="M150" s="154" t="str">
        <f t="shared" ca="1" si="9"/>
        <v/>
      </c>
      <c r="O150" s="154" t="e">
        <f t="shared" ca="1" si="10"/>
        <v>#N/A</v>
      </c>
      <c r="P150" s="154" t="e">
        <f t="shared" ca="1" si="11"/>
        <v>#N/A</v>
      </c>
    </row>
    <row r="151" spans="2:16">
      <c r="B151" s="156" t="str">
        <f t="shared" si="12"/>
        <v/>
      </c>
      <c r="M151" s="154" t="str">
        <f t="shared" ca="1" si="9"/>
        <v/>
      </c>
      <c r="O151" s="154" t="e">
        <f t="shared" ca="1" si="10"/>
        <v>#N/A</v>
      </c>
      <c r="P151" s="154" t="e">
        <f t="shared" ca="1" si="11"/>
        <v>#N/A</v>
      </c>
    </row>
    <row r="152" spans="2:16">
      <c r="B152" s="156" t="str">
        <f t="shared" si="12"/>
        <v/>
      </c>
      <c r="M152" s="154" t="str">
        <f t="shared" ca="1" si="9"/>
        <v/>
      </c>
      <c r="O152" s="154" t="e">
        <f t="shared" ca="1" si="10"/>
        <v>#N/A</v>
      </c>
      <c r="P152" s="154" t="e">
        <f t="shared" ca="1" si="11"/>
        <v>#N/A</v>
      </c>
    </row>
    <row r="153" spans="2:16">
      <c r="B153" s="156" t="str">
        <f t="shared" si="12"/>
        <v/>
      </c>
      <c r="M153" s="154" t="str">
        <f t="shared" ca="1" si="9"/>
        <v/>
      </c>
      <c r="O153" s="154" t="e">
        <f t="shared" ca="1" si="10"/>
        <v>#N/A</v>
      </c>
      <c r="P153" s="154" t="e">
        <f t="shared" ca="1" si="11"/>
        <v>#N/A</v>
      </c>
    </row>
    <row r="154" spans="2:16">
      <c r="B154" s="156" t="str">
        <f t="shared" si="12"/>
        <v/>
      </c>
      <c r="M154" s="154" t="str">
        <f t="shared" ca="1" si="9"/>
        <v/>
      </c>
      <c r="O154" s="154" t="e">
        <f t="shared" ca="1" si="10"/>
        <v>#N/A</v>
      </c>
      <c r="P154" s="154" t="e">
        <f t="shared" ca="1" si="11"/>
        <v>#N/A</v>
      </c>
    </row>
    <row r="155" spans="2:16">
      <c r="B155" s="156" t="str">
        <f t="shared" si="12"/>
        <v/>
      </c>
      <c r="M155" s="154" t="str">
        <f t="shared" ca="1" si="9"/>
        <v/>
      </c>
      <c r="O155" s="154" t="e">
        <f t="shared" ca="1" si="10"/>
        <v>#N/A</v>
      </c>
      <c r="P155" s="154" t="e">
        <f t="shared" ca="1" si="11"/>
        <v>#N/A</v>
      </c>
    </row>
    <row r="156" spans="2:16">
      <c r="B156" s="156" t="str">
        <f t="shared" si="12"/>
        <v/>
      </c>
      <c r="M156" s="154" t="str">
        <f t="shared" ca="1" si="9"/>
        <v/>
      </c>
      <c r="O156" s="154" t="e">
        <f t="shared" ca="1" si="10"/>
        <v>#N/A</v>
      </c>
      <c r="P156" s="154" t="e">
        <f t="shared" ca="1" si="11"/>
        <v>#N/A</v>
      </c>
    </row>
    <row r="157" spans="2:16">
      <c r="B157" s="156" t="str">
        <f t="shared" si="12"/>
        <v/>
      </c>
      <c r="M157" s="154" t="str">
        <f t="shared" ref="M157:M199" ca="1" si="13">IFERROR(INDEX($C$3:$C$98,P157)&amp;" " &amp;INDEX($D$3:$D$98,P157),"")</f>
        <v/>
      </c>
      <c r="O157" s="154" t="e">
        <f t="shared" ca="1" si="10"/>
        <v>#N/A</v>
      </c>
      <c r="P157" s="154" t="e">
        <f t="shared" ca="1" si="11"/>
        <v>#N/A</v>
      </c>
    </row>
    <row r="158" spans="2:16">
      <c r="B158" s="156" t="str">
        <f t="shared" si="12"/>
        <v/>
      </c>
      <c r="M158" s="154" t="str">
        <f t="shared" ca="1" si="13"/>
        <v/>
      </c>
      <c r="O158" s="154" t="e">
        <f t="shared" ca="1" si="10"/>
        <v>#N/A</v>
      </c>
      <c r="P158" s="154" t="e">
        <f t="shared" ca="1" si="11"/>
        <v>#N/A</v>
      </c>
    </row>
    <row r="159" spans="2:16">
      <c r="B159" s="156" t="str">
        <f t="shared" si="12"/>
        <v/>
      </c>
      <c r="M159" s="154" t="str">
        <f t="shared" ca="1" si="13"/>
        <v/>
      </c>
      <c r="O159" s="154" t="e">
        <f t="shared" ca="1" si="10"/>
        <v>#N/A</v>
      </c>
      <c r="P159" s="154" t="e">
        <f t="shared" ca="1" si="11"/>
        <v>#N/A</v>
      </c>
    </row>
    <row r="160" spans="2:16">
      <c r="B160" s="156" t="str">
        <f t="shared" si="12"/>
        <v/>
      </c>
      <c r="M160" s="154" t="str">
        <f t="shared" ca="1" si="13"/>
        <v/>
      </c>
      <c r="O160" s="154" t="e">
        <f t="shared" ca="1" si="10"/>
        <v>#N/A</v>
      </c>
      <c r="P160" s="154" t="e">
        <f t="shared" ca="1" si="11"/>
        <v>#N/A</v>
      </c>
    </row>
    <row r="161" spans="2:16">
      <c r="B161" s="156" t="str">
        <f t="shared" si="12"/>
        <v/>
      </c>
      <c r="M161" s="154" t="str">
        <f t="shared" ca="1" si="13"/>
        <v/>
      </c>
      <c r="O161" s="154" t="e">
        <f t="shared" ca="1" si="10"/>
        <v>#N/A</v>
      </c>
      <c r="P161" s="154" t="e">
        <f t="shared" ca="1" si="11"/>
        <v>#N/A</v>
      </c>
    </row>
    <row r="162" spans="2:16">
      <c r="B162" s="156" t="str">
        <f t="shared" si="12"/>
        <v/>
      </c>
      <c r="M162" s="154" t="str">
        <f t="shared" ca="1" si="13"/>
        <v/>
      </c>
      <c r="O162" s="154" t="e">
        <f t="shared" ca="1" si="10"/>
        <v>#N/A</v>
      </c>
      <c r="P162" s="154" t="e">
        <f t="shared" ca="1" si="11"/>
        <v>#N/A</v>
      </c>
    </row>
    <row r="163" spans="2:16">
      <c r="B163" s="156" t="str">
        <f t="shared" si="12"/>
        <v/>
      </c>
      <c r="M163" s="154" t="str">
        <f t="shared" ca="1" si="13"/>
        <v/>
      </c>
      <c r="O163" s="154" t="e">
        <f t="shared" ca="1" si="10"/>
        <v>#N/A</v>
      </c>
      <c r="P163" s="154" t="e">
        <f t="shared" ca="1" si="11"/>
        <v>#N/A</v>
      </c>
    </row>
    <row r="164" spans="2:16">
      <c r="B164" s="156" t="str">
        <f t="shared" si="12"/>
        <v/>
      </c>
      <c r="M164" s="154" t="str">
        <f t="shared" ca="1" si="13"/>
        <v/>
      </c>
      <c r="O164" s="154" t="e">
        <f t="shared" ca="1" si="10"/>
        <v>#N/A</v>
      </c>
      <c r="P164" s="154" t="e">
        <f t="shared" ca="1" si="11"/>
        <v>#N/A</v>
      </c>
    </row>
    <row r="165" spans="2:16">
      <c r="B165" s="156" t="str">
        <f t="shared" si="12"/>
        <v/>
      </c>
      <c r="M165" s="154" t="str">
        <f t="shared" ca="1" si="13"/>
        <v/>
      </c>
      <c r="O165" s="154" t="e">
        <f t="shared" ca="1" si="10"/>
        <v>#N/A</v>
      </c>
      <c r="P165" s="154" t="e">
        <f t="shared" ca="1" si="11"/>
        <v>#N/A</v>
      </c>
    </row>
    <row r="166" spans="2:16">
      <c r="B166" s="156" t="str">
        <f t="shared" si="12"/>
        <v/>
      </c>
      <c r="M166" s="154" t="str">
        <f t="shared" ca="1" si="13"/>
        <v/>
      </c>
      <c r="O166" s="154" t="e">
        <f t="shared" ca="1" si="10"/>
        <v>#N/A</v>
      </c>
      <c r="P166" s="154" t="e">
        <f t="shared" ca="1" si="11"/>
        <v>#N/A</v>
      </c>
    </row>
    <row r="167" spans="2:16">
      <c r="B167" s="156" t="str">
        <f t="shared" si="12"/>
        <v/>
      </c>
      <c r="M167" s="154" t="str">
        <f t="shared" ca="1" si="13"/>
        <v/>
      </c>
      <c r="O167" s="154" t="e">
        <f t="shared" ca="1" si="10"/>
        <v>#N/A</v>
      </c>
      <c r="P167" s="154" t="e">
        <f t="shared" ca="1" si="11"/>
        <v>#N/A</v>
      </c>
    </row>
    <row r="168" spans="2:16">
      <c r="B168" s="156" t="str">
        <f t="shared" si="12"/>
        <v/>
      </c>
      <c r="M168" s="154" t="str">
        <f t="shared" ca="1" si="13"/>
        <v/>
      </c>
      <c r="O168" s="154" t="e">
        <f t="shared" ca="1" si="10"/>
        <v>#N/A</v>
      </c>
      <c r="P168" s="154" t="e">
        <f t="shared" ca="1" si="11"/>
        <v>#N/A</v>
      </c>
    </row>
    <row r="169" spans="2:16">
      <c r="B169" s="156" t="str">
        <f t="shared" si="12"/>
        <v/>
      </c>
      <c r="M169" s="154" t="str">
        <f t="shared" ca="1" si="13"/>
        <v/>
      </c>
      <c r="O169" s="154" t="e">
        <f t="shared" ca="1" si="10"/>
        <v>#N/A</v>
      </c>
      <c r="P169" s="154" t="e">
        <f t="shared" ca="1" si="11"/>
        <v>#N/A</v>
      </c>
    </row>
    <row r="170" spans="2:16">
      <c r="B170" s="156" t="str">
        <f t="shared" si="12"/>
        <v/>
      </c>
      <c r="M170" s="154" t="str">
        <f t="shared" ca="1" si="13"/>
        <v/>
      </c>
      <c r="O170" s="154" t="e">
        <f t="shared" ca="1" si="10"/>
        <v>#N/A</v>
      </c>
      <c r="P170" s="154" t="e">
        <f t="shared" ca="1" si="11"/>
        <v>#N/A</v>
      </c>
    </row>
    <row r="171" spans="2:16">
      <c r="B171" s="156" t="str">
        <f t="shared" si="12"/>
        <v/>
      </c>
      <c r="M171" s="154" t="str">
        <f t="shared" ca="1" si="13"/>
        <v/>
      </c>
      <c r="O171" s="154" t="e">
        <f t="shared" ca="1" si="10"/>
        <v>#N/A</v>
      </c>
      <c r="P171" s="154" t="e">
        <f t="shared" ca="1" si="11"/>
        <v>#N/A</v>
      </c>
    </row>
    <row r="172" spans="2:16">
      <c r="B172" s="156" t="str">
        <f t="shared" si="12"/>
        <v/>
      </c>
      <c r="M172" s="154" t="str">
        <f t="shared" ca="1" si="13"/>
        <v/>
      </c>
      <c r="O172" s="154" t="e">
        <f t="shared" ca="1" si="10"/>
        <v>#N/A</v>
      </c>
      <c r="P172" s="154" t="e">
        <f t="shared" ca="1" si="11"/>
        <v>#N/A</v>
      </c>
    </row>
    <row r="173" spans="2:16">
      <c r="B173" s="156" t="str">
        <f t="shared" si="12"/>
        <v/>
      </c>
      <c r="M173" s="154" t="str">
        <f t="shared" ca="1" si="13"/>
        <v/>
      </c>
      <c r="O173" s="154" t="e">
        <f t="shared" ca="1" si="10"/>
        <v>#N/A</v>
      </c>
      <c r="P173" s="154" t="e">
        <f t="shared" ca="1" si="11"/>
        <v>#N/A</v>
      </c>
    </row>
    <row r="174" spans="2:16">
      <c r="B174" s="156" t="str">
        <f t="shared" si="12"/>
        <v/>
      </c>
      <c r="M174" s="154" t="str">
        <f t="shared" ca="1" si="13"/>
        <v/>
      </c>
      <c r="O174" s="154" t="e">
        <f t="shared" ca="1" si="10"/>
        <v>#N/A</v>
      </c>
      <c r="P174" s="154" t="e">
        <f t="shared" ca="1" si="11"/>
        <v>#N/A</v>
      </c>
    </row>
    <row r="175" spans="2:16">
      <c r="B175" s="156" t="str">
        <f t="shared" si="12"/>
        <v/>
      </c>
      <c r="M175" s="154" t="str">
        <f t="shared" ca="1" si="13"/>
        <v/>
      </c>
      <c r="O175" s="154" t="e">
        <f t="shared" ca="1" si="10"/>
        <v>#N/A</v>
      </c>
      <c r="P175" s="154" t="e">
        <f t="shared" ca="1" si="11"/>
        <v>#N/A</v>
      </c>
    </row>
    <row r="176" spans="2:16">
      <c r="B176" s="156" t="str">
        <f t="shared" si="12"/>
        <v/>
      </c>
      <c r="M176" s="154" t="str">
        <f t="shared" ca="1" si="13"/>
        <v/>
      </c>
      <c r="O176" s="154" t="e">
        <f t="shared" ca="1" si="10"/>
        <v>#N/A</v>
      </c>
      <c r="P176" s="154" t="e">
        <f t="shared" ca="1" si="11"/>
        <v>#N/A</v>
      </c>
    </row>
    <row r="177" spans="2:16">
      <c r="B177" s="156" t="str">
        <f t="shared" si="12"/>
        <v/>
      </c>
      <c r="M177" s="154" t="str">
        <f t="shared" ca="1" si="13"/>
        <v/>
      </c>
      <c r="O177" s="154" t="e">
        <f t="shared" ca="1" si="10"/>
        <v>#N/A</v>
      </c>
      <c r="P177" s="154" t="e">
        <f t="shared" ca="1" si="11"/>
        <v>#N/A</v>
      </c>
    </row>
    <row r="178" spans="2:16">
      <c r="B178" s="156" t="str">
        <f t="shared" si="12"/>
        <v/>
      </c>
      <c r="M178" s="154" t="str">
        <f t="shared" ca="1" si="13"/>
        <v/>
      </c>
      <c r="O178" s="154" t="e">
        <f t="shared" ca="1" si="10"/>
        <v>#N/A</v>
      </c>
      <c r="P178" s="154" t="e">
        <f t="shared" ca="1" si="11"/>
        <v>#N/A</v>
      </c>
    </row>
    <row r="179" spans="2:16">
      <c r="B179" s="156" t="str">
        <f t="shared" si="12"/>
        <v/>
      </c>
      <c r="M179" s="154" t="str">
        <f t="shared" ca="1" si="13"/>
        <v/>
      </c>
      <c r="O179" s="154" t="e">
        <f t="shared" ca="1" si="10"/>
        <v>#N/A</v>
      </c>
      <c r="P179" s="154" t="e">
        <f t="shared" ca="1" si="11"/>
        <v>#N/A</v>
      </c>
    </row>
    <row r="180" spans="2:16">
      <c r="B180" s="156" t="str">
        <f t="shared" si="12"/>
        <v/>
      </c>
      <c r="M180" s="154" t="str">
        <f t="shared" ca="1" si="13"/>
        <v/>
      </c>
      <c r="O180" s="154" t="e">
        <f t="shared" ca="1" si="10"/>
        <v>#N/A</v>
      </c>
      <c r="P180" s="154" t="e">
        <f t="shared" ca="1" si="11"/>
        <v>#N/A</v>
      </c>
    </row>
    <row r="181" spans="2:16">
      <c r="B181" s="156" t="str">
        <f t="shared" si="12"/>
        <v/>
      </c>
      <c r="M181" s="154" t="str">
        <f t="shared" ca="1" si="13"/>
        <v/>
      </c>
      <c r="O181" s="154" t="e">
        <f t="shared" ca="1" si="10"/>
        <v>#N/A</v>
      </c>
      <c r="P181" s="154" t="e">
        <f t="shared" ca="1" si="11"/>
        <v>#N/A</v>
      </c>
    </row>
    <row r="182" spans="2:16">
      <c r="B182" s="156" t="str">
        <f t="shared" si="12"/>
        <v/>
      </c>
      <c r="M182" s="154" t="str">
        <f t="shared" ca="1" si="13"/>
        <v/>
      </c>
      <c r="O182" s="154" t="e">
        <f t="shared" ca="1" si="10"/>
        <v>#N/A</v>
      </c>
      <c r="P182" s="154" t="e">
        <f t="shared" ca="1" si="11"/>
        <v>#N/A</v>
      </c>
    </row>
    <row r="183" spans="2:16">
      <c r="B183" s="156" t="str">
        <f t="shared" si="12"/>
        <v/>
      </c>
      <c r="M183" s="154" t="str">
        <f t="shared" ca="1" si="13"/>
        <v/>
      </c>
      <c r="O183" s="154" t="e">
        <f t="shared" ca="1" si="10"/>
        <v>#N/A</v>
      </c>
      <c r="P183" s="154" t="e">
        <f t="shared" ca="1" si="11"/>
        <v>#N/A</v>
      </c>
    </row>
    <row r="184" spans="2:16">
      <c r="B184" s="156" t="str">
        <f t="shared" si="12"/>
        <v/>
      </c>
      <c r="M184" s="154" t="str">
        <f t="shared" ca="1" si="13"/>
        <v/>
      </c>
      <c r="O184" s="154" t="e">
        <f t="shared" ca="1" si="10"/>
        <v>#N/A</v>
      </c>
      <c r="P184" s="154" t="e">
        <f t="shared" ca="1" si="11"/>
        <v>#N/A</v>
      </c>
    </row>
    <row r="185" spans="2:16">
      <c r="B185" s="156" t="str">
        <f t="shared" si="12"/>
        <v/>
      </c>
      <c r="M185" s="154" t="str">
        <f t="shared" ca="1" si="13"/>
        <v/>
      </c>
      <c r="O185" s="154" t="e">
        <f t="shared" ca="1" si="10"/>
        <v>#N/A</v>
      </c>
      <c r="P185" s="154" t="e">
        <f t="shared" ca="1" si="11"/>
        <v>#N/A</v>
      </c>
    </row>
    <row r="186" spans="2:16">
      <c r="B186" s="156" t="str">
        <f t="shared" si="12"/>
        <v/>
      </c>
      <c r="M186" s="154" t="str">
        <f t="shared" ca="1" si="13"/>
        <v/>
      </c>
      <c r="O186" s="154" t="e">
        <f t="shared" ca="1" si="10"/>
        <v>#N/A</v>
      </c>
      <c r="P186" s="154" t="e">
        <f t="shared" ca="1" si="11"/>
        <v>#N/A</v>
      </c>
    </row>
    <row r="187" spans="2:16">
      <c r="B187" s="156" t="str">
        <f t="shared" si="12"/>
        <v/>
      </c>
      <c r="M187" s="154" t="str">
        <f t="shared" ca="1" si="13"/>
        <v/>
      </c>
      <c r="O187" s="154" t="e">
        <f t="shared" ca="1" si="10"/>
        <v>#N/A</v>
      </c>
      <c r="P187" s="154" t="e">
        <f t="shared" ca="1" si="11"/>
        <v>#N/A</v>
      </c>
    </row>
    <row r="188" spans="2:16">
      <c r="B188" s="156" t="str">
        <f t="shared" si="12"/>
        <v/>
      </c>
      <c r="M188" s="154" t="str">
        <f t="shared" ca="1" si="13"/>
        <v/>
      </c>
      <c r="O188" s="154" t="e">
        <f t="shared" ca="1" si="10"/>
        <v>#N/A</v>
      </c>
      <c r="P188" s="154" t="e">
        <f t="shared" ca="1" si="11"/>
        <v>#N/A</v>
      </c>
    </row>
    <row r="189" spans="2:16">
      <c r="B189" s="156" t="str">
        <f t="shared" si="12"/>
        <v/>
      </c>
      <c r="M189" s="154" t="str">
        <f t="shared" ca="1" si="13"/>
        <v/>
      </c>
      <c r="O189" s="154" t="e">
        <f t="shared" ca="1" si="10"/>
        <v>#N/A</v>
      </c>
      <c r="P189" s="154" t="e">
        <f t="shared" ca="1" si="11"/>
        <v>#N/A</v>
      </c>
    </row>
    <row r="190" spans="2:16">
      <c r="B190" s="156" t="str">
        <f t="shared" si="12"/>
        <v/>
      </c>
      <c r="M190" s="154" t="str">
        <f t="shared" ca="1" si="13"/>
        <v/>
      </c>
      <c r="O190" s="154" t="e">
        <f t="shared" ca="1" si="10"/>
        <v>#N/A</v>
      </c>
      <c r="P190" s="154" t="e">
        <f t="shared" ca="1" si="11"/>
        <v>#N/A</v>
      </c>
    </row>
    <row r="191" spans="2:16">
      <c r="B191" s="156" t="str">
        <f t="shared" si="12"/>
        <v/>
      </c>
      <c r="M191" s="154" t="str">
        <f t="shared" ca="1" si="13"/>
        <v/>
      </c>
      <c r="O191" s="154" t="e">
        <f t="shared" ca="1" si="10"/>
        <v>#N/A</v>
      </c>
      <c r="P191" s="154" t="e">
        <f t="shared" ca="1" si="11"/>
        <v>#N/A</v>
      </c>
    </row>
    <row r="192" spans="2:16">
      <c r="B192" s="156" t="str">
        <f t="shared" si="12"/>
        <v/>
      </c>
      <c r="M192" s="154" t="str">
        <f t="shared" ca="1" si="13"/>
        <v/>
      </c>
      <c r="O192" s="154" t="e">
        <f t="shared" ca="1" si="10"/>
        <v>#N/A</v>
      </c>
      <c r="P192" s="154" t="e">
        <f t="shared" ca="1" si="11"/>
        <v>#N/A</v>
      </c>
    </row>
    <row r="193" spans="2:16">
      <c r="B193" s="156" t="str">
        <f t="shared" si="12"/>
        <v/>
      </c>
      <c r="M193" s="154" t="str">
        <f t="shared" ca="1" si="13"/>
        <v/>
      </c>
      <c r="O193" s="154" t="e">
        <f t="shared" ca="1" si="10"/>
        <v>#N/A</v>
      </c>
      <c r="P193" s="154" t="e">
        <f t="shared" ca="1" si="11"/>
        <v>#N/A</v>
      </c>
    </row>
    <row r="194" spans="2:16">
      <c r="B194" s="156" t="str">
        <f t="shared" si="12"/>
        <v/>
      </c>
      <c r="M194" s="154" t="str">
        <f t="shared" ca="1" si="13"/>
        <v/>
      </c>
      <c r="O194" s="154" t="e">
        <f t="shared" ca="1" si="10"/>
        <v>#N/A</v>
      </c>
      <c r="P194" s="154" t="e">
        <f t="shared" ca="1" si="11"/>
        <v>#N/A</v>
      </c>
    </row>
    <row r="195" spans="2:16">
      <c r="B195" s="156" t="str">
        <f t="shared" si="12"/>
        <v/>
      </c>
      <c r="M195" s="154" t="str">
        <f t="shared" ca="1" si="13"/>
        <v/>
      </c>
      <c r="O195" s="154" t="e">
        <f t="shared" ca="1" si="10"/>
        <v>#N/A</v>
      </c>
      <c r="P195" s="154" t="e">
        <f t="shared" ca="1" si="11"/>
        <v>#N/A</v>
      </c>
    </row>
    <row r="196" spans="2:16">
      <c r="B196" s="156" t="str">
        <f t="shared" si="12"/>
        <v/>
      </c>
      <c r="M196" s="154" t="str">
        <f t="shared" ca="1" si="13"/>
        <v/>
      </c>
      <c r="O196" s="154" t="e">
        <f t="shared" ref="O196:O199" ca="1" si="14">MATCH("x",OFFSET($B$3:$B$98,P195,),0)</f>
        <v>#N/A</v>
      </c>
      <c r="P196" s="154" t="e">
        <f t="shared" ca="1" si="11"/>
        <v>#N/A</v>
      </c>
    </row>
    <row r="197" spans="2:16">
      <c r="B197" s="156" t="str">
        <f t="shared" si="12"/>
        <v/>
      </c>
      <c r="M197" s="154" t="str">
        <f t="shared" ca="1" si="13"/>
        <v/>
      </c>
      <c r="O197" s="154" t="e">
        <f t="shared" ca="1" si="14"/>
        <v>#N/A</v>
      </c>
      <c r="P197" s="154" t="e">
        <f t="shared" ref="P197:P199" ca="1" si="15">P196+O197</f>
        <v>#N/A</v>
      </c>
    </row>
    <row r="198" spans="2:16">
      <c r="B198" s="156"/>
      <c r="M198" s="154" t="str">
        <f t="shared" ca="1" si="13"/>
        <v/>
      </c>
      <c r="O198" s="154" t="e">
        <f t="shared" ca="1" si="14"/>
        <v>#N/A</v>
      </c>
      <c r="P198" s="154" t="e">
        <f t="shared" ca="1" si="15"/>
        <v>#N/A</v>
      </c>
    </row>
    <row r="199" spans="2:16">
      <c r="B199" s="156"/>
      <c r="M199" s="154" t="str">
        <f t="shared" ca="1" si="13"/>
        <v/>
      </c>
      <c r="O199" s="154" t="e">
        <f t="shared" ca="1" si="14"/>
        <v>#N/A</v>
      </c>
      <c r="P199" s="154" t="e">
        <f t="shared" ca="1" si="15"/>
        <v>#N/A</v>
      </c>
    </row>
    <row r="200" spans="2:16">
      <c r="B200" s="156"/>
    </row>
    <row r="201" spans="2:16">
      <c r="B201" s="156"/>
    </row>
    <row r="202" spans="2:16">
      <c r="B202" s="156"/>
    </row>
    <row r="203" spans="2:16">
      <c r="B203" s="156"/>
    </row>
    <row r="204" spans="2:16">
      <c r="B204" s="156"/>
    </row>
    <row r="205" spans="2:16">
      <c r="B205" s="156"/>
    </row>
    <row r="206" spans="2:16">
      <c r="B206" s="156"/>
    </row>
    <row r="207" spans="2:16">
      <c r="B207" s="156"/>
    </row>
    <row r="208" spans="2:16">
      <c r="B208" s="156"/>
    </row>
    <row r="209" spans="2:2">
      <c r="B209" s="156"/>
    </row>
    <row r="210" spans="2:2">
      <c r="B210" s="156"/>
    </row>
    <row r="211" spans="2:2">
      <c r="B211" s="156"/>
    </row>
    <row r="212" spans="2:2">
      <c r="B212" s="156"/>
    </row>
    <row r="213" spans="2:2">
      <c r="B213" s="156"/>
    </row>
    <row r="214" spans="2:2">
      <c r="B214" s="156"/>
    </row>
    <row r="215" spans="2:2">
      <c r="B215" s="156"/>
    </row>
    <row r="216" spans="2:2">
      <c r="B216" s="156"/>
    </row>
    <row r="217" spans="2:2">
      <c r="B217" s="156"/>
    </row>
    <row r="218" spans="2:2">
      <c r="B218" s="156"/>
    </row>
    <row r="219" spans="2:2">
      <c r="B219" s="156"/>
    </row>
  </sheetData>
  <sheetProtection algorithmName="SHA-512" hashValue="Ti1c/GkK9YU6Sri5FLk+1NWM7KKGzYf1EWvgcYju6sgRwuZkDisXJCN1yn4ELWIpP/vfZyc5eXhB8e1Nh1vFhw==" saltValue="mrmSL9sVTefFlPgX007XkQ==" spinCount="100000" sheet="1" objects="1" scenarios="1"/>
  <autoFilter ref="C2:K2" xr:uid="{00000000-0009-0000-0000-000001000000}">
    <sortState ref="C3:K199">
      <sortCondition ref="C2"/>
    </sortState>
  </autoFilter>
  <mergeCells count="1">
    <mergeCell ref="C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dimension ref="A1:X287"/>
  <sheetViews>
    <sheetView workbookViewId="0" xr3:uid="{842E5F09-E766-5B8D-85AF-A39847EA96FD}">
      <selection activeCell="C37" sqref="C37"/>
    </sheetView>
  </sheetViews>
  <sheetFormatPr defaultColWidth="9.140625" defaultRowHeight="15"/>
  <cols>
    <col min="1" max="1" width="6" style="154" customWidth="1"/>
    <col min="2" max="2" width="41" style="154" customWidth="1"/>
    <col min="3" max="16" width="9.140625" style="154"/>
    <col min="17" max="17" width="9.140625" style="154" customWidth="1"/>
    <col min="18" max="18" width="9.140625" style="154"/>
    <col min="19" max="24" width="9.140625" style="169"/>
    <col min="25" max="16384" width="9.140625" style="154"/>
  </cols>
  <sheetData>
    <row r="1" spans="1:24" ht="15.75">
      <c r="B1" s="168" t="s">
        <v>193</v>
      </c>
      <c r="S1" s="344" t="s">
        <v>194</v>
      </c>
      <c r="T1" s="344"/>
      <c r="U1" s="344"/>
      <c r="V1" s="344"/>
      <c r="W1" s="344"/>
      <c r="X1" s="344"/>
    </row>
    <row r="2" spans="1:24" ht="33">
      <c r="B2" s="159" t="s">
        <v>73</v>
      </c>
      <c r="C2" s="159" t="s">
        <v>195</v>
      </c>
      <c r="D2" s="159" t="s">
        <v>196</v>
      </c>
      <c r="E2" s="159" t="s">
        <v>197</v>
      </c>
      <c r="F2" s="159" t="s">
        <v>198</v>
      </c>
      <c r="G2" s="159" t="s">
        <v>199</v>
      </c>
      <c r="H2" s="159" t="s">
        <v>200</v>
      </c>
      <c r="I2" s="159" t="s">
        <v>201</v>
      </c>
      <c r="J2" s="159" t="s">
        <v>202</v>
      </c>
      <c r="K2" s="159" t="s">
        <v>203</v>
      </c>
      <c r="L2" s="159" t="s">
        <v>204</v>
      </c>
      <c r="M2" s="159" t="s">
        <v>205</v>
      </c>
      <c r="N2" s="159" t="s">
        <v>206</v>
      </c>
      <c r="O2" s="159" t="s">
        <v>207</v>
      </c>
      <c r="P2" s="159" t="s">
        <v>208</v>
      </c>
      <c r="Q2" s="159" t="s">
        <v>209</v>
      </c>
      <c r="S2" s="160" t="s">
        <v>74</v>
      </c>
      <c r="T2" s="160" t="s">
        <v>75</v>
      </c>
      <c r="U2" s="160" t="s">
        <v>76</v>
      </c>
      <c r="V2" s="160" t="s">
        <v>77</v>
      </c>
      <c r="W2" s="160" t="s">
        <v>78</v>
      </c>
      <c r="X2" s="160" t="s">
        <v>79</v>
      </c>
    </row>
    <row r="3" spans="1:24">
      <c r="A3" s="154" t="str">
        <f>LEFT(B3,4)</f>
        <v>1001</v>
      </c>
      <c r="B3" s="164" t="s">
        <v>85</v>
      </c>
      <c r="C3" s="164" t="s">
        <v>210</v>
      </c>
      <c r="D3" s="154">
        <v>3911</v>
      </c>
      <c r="E3" s="154">
        <v>3911</v>
      </c>
      <c r="F3" s="154">
        <v>3911</v>
      </c>
      <c r="G3" s="154">
        <v>3911</v>
      </c>
      <c r="H3" s="154">
        <v>3911</v>
      </c>
      <c r="I3" s="154">
        <v>3911</v>
      </c>
      <c r="J3" s="154">
        <v>3911</v>
      </c>
      <c r="K3" s="154">
        <v>3911</v>
      </c>
      <c r="L3" s="154">
        <v>3911</v>
      </c>
      <c r="M3" s="154">
        <v>3911</v>
      </c>
      <c r="N3" s="154">
        <v>3911</v>
      </c>
      <c r="O3" s="154">
        <v>3911</v>
      </c>
      <c r="P3" s="164" t="s">
        <v>211</v>
      </c>
      <c r="Q3" s="154">
        <v>38</v>
      </c>
      <c r="S3" s="169" t="s">
        <v>211</v>
      </c>
      <c r="T3" s="169" t="s">
        <v>211</v>
      </c>
    </row>
    <row r="4" spans="1:24">
      <c r="A4" s="154" t="str">
        <f t="shared" ref="A4:A66" si="0">LEFT(B4,4)</f>
        <v>1002</v>
      </c>
      <c r="B4" s="164" t="s">
        <v>104</v>
      </c>
      <c r="C4" s="164" t="s">
        <v>210</v>
      </c>
      <c r="D4" s="154">
        <v>3911</v>
      </c>
      <c r="E4" s="154">
        <v>3911</v>
      </c>
      <c r="F4" s="154">
        <v>3911</v>
      </c>
      <c r="G4" s="154">
        <v>3911</v>
      </c>
      <c r="H4" s="154">
        <v>3911</v>
      </c>
      <c r="I4" s="154">
        <v>3911</v>
      </c>
      <c r="J4" s="154">
        <v>3911</v>
      </c>
      <c r="K4" s="154">
        <v>3911</v>
      </c>
      <c r="L4" s="154">
        <v>3911</v>
      </c>
      <c r="M4" s="154">
        <v>3911</v>
      </c>
      <c r="N4" s="154">
        <v>3911</v>
      </c>
      <c r="O4" s="154">
        <v>3911</v>
      </c>
      <c r="P4" s="164" t="s">
        <v>211</v>
      </c>
      <c r="Q4" s="154">
        <v>80</v>
      </c>
      <c r="S4" s="169" t="s">
        <v>211</v>
      </c>
      <c r="T4" s="169" t="s">
        <v>211</v>
      </c>
    </row>
    <row r="5" spans="1:24">
      <c r="A5" s="154" t="str">
        <f t="shared" si="0"/>
        <v>1010</v>
      </c>
      <c r="B5" s="164" t="s">
        <v>106</v>
      </c>
      <c r="C5" s="164" t="s">
        <v>210</v>
      </c>
      <c r="D5" s="154">
        <v>3970</v>
      </c>
      <c r="E5" s="154">
        <v>3970</v>
      </c>
      <c r="F5" s="154">
        <v>3970</v>
      </c>
      <c r="G5" s="154">
        <v>3970</v>
      </c>
      <c r="H5" s="154">
        <v>3970</v>
      </c>
      <c r="I5" s="154">
        <v>3970</v>
      </c>
      <c r="J5" s="154">
        <v>3970</v>
      </c>
      <c r="K5" s="154">
        <v>3970</v>
      </c>
      <c r="L5" s="154">
        <v>3970</v>
      </c>
      <c r="M5" s="154">
        <v>3970</v>
      </c>
      <c r="N5" s="154">
        <v>3970</v>
      </c>
      <c r="O5" s="154">
        <v>3970</v>
      </c>
      <c r="P5" s="164" t="s">
        <v>211</v>
      </c>
      <c r="Q5" s="154">
        <v>1</v>
      </c>
      <c r="S5" s="169" t="s">
        <v>211</v>
      </c>
      <c r="T5" s="169" t="s">
        <v>211</v>
      </c>
    </row>
    <row r="6" spans="1:24">
      <c r="A6" s="154" t="str">
        <f t="shared" si="0"/>
        <v>1011</v>
      </c>
      <c r="B6" s="164" t="s">
        <v>212</v>
      </c>
      <c r="C6" s="164" t="s">
        <v>210</v>
      </c>
      <c r="D6" s="154">
        <v>3970</v>
      </c>
      <c r="E6" s="154">
        <v>3970</v>
      </c>
      <c r="F6" s="154">
        <v>3970</v>
      </c>
      <c r="G6" s="154">
        <v>3970</v>
      </c>
      <c r="H6" s="154">
        <v>3970</v>
      </c>
      <c r="I6" s="154">
        <v>3970</v>
      </c>
      <c r="J6" s="154">
        <v>3970</v>
      </c>
      <c r="K6" s="154">
        <v>3970</v>
      </c>
      <c r="L6" s="154">
        <v>3970</v>
      </c>
      <c r="M6" s="154">
        <v>3970</v>
      </c>
      <c r="N6" s="154">
        <v>3970</v>
      </c>
      <c r="O6" s="154">
        <v>3970</v>
      </c>
      <c r="P6" s="164" t="s">
        <v>211</v>
      </c>
      <c r="Q6" s="154">
        <v>28</v>
      </c>
      <c r="S6" s="169" t="s">
        <v>211</v>
      </c>
      <c r="T6" s="169" t="s">
        <v>211</v>
      </c>
    </row>
    <row r="7" spans="1:24">
      <c r="A7" s="154" t="str">
        <f t="shared" si="0"/>
        <v>1020</v>
      </c>
      <c r="B7" s="164" t="s">
        <v>112</v>
      </c>
      <c r="C7" s="164" t="s">
        <v>210</v>
      </c>
      <c r="D7" s="154">
        <v>3930</v>
      </c>
      <c r="E7" s="154">
        <v>3930</v>
      </c>
      <c r="F7" s="154">
        <v>3930</v>
      </c>
      <c r="G7" s="154">
        <v>3930</v>
      </c>
      <c r="H7" s="154">
        <v>3930</v>
      </c>
      <c r="I7" s="154">
        <v>3930</v>
      </c>
      <c r="J7" s="154">
        <v>3930</v>
      </c>
      <c r="K7" s="154">
        <v>3930</v>
      </c>
      <c r="L7" s="154">
        <v>3930</v>
      </c>
      <c r="M7" s="154">
        <v>3930</v>
      </c>
      <c r="N7" s="154">
        <v>3930</v>
      </c>
      <c r="O7" s="154">
        <v>3930</v>
      </c>
      <c r="P7" s="164" t="s">
        <v>211</v>
      </c>
      <c r="Q7" s="154">
        <v>1</v>
      </c>
      <c r="S7" s="169" t="s">
        <v>211</v>
      </c>
      <c r="T7" s="169" t="s">
        <v>211</v>
      </c>
    </row>
    <row r="8" spans="1:24">
      <c r="A8" s="154" t="str">
        <f t="shared" si="0"/>
        <v>1030</v>
      </c>
      <c r="B8" s="164" t="s">
        <v>128</v>
      </c>
      <c r="C8" s="164" t="s">
        <v>210</v>
      </c>
      <c r="D8" s="154">
        <v>3912</v>
      </c>
      <c r="E8" s="154">
        <v>3912</v>
      </c>
      <c r="F8" s="154">
        <v>3912</v>
      </c>
      <c r="G8" s="154">
        <v>3912</v>
      </c>
      <c r="H8" s="154">
        <v>3912</v>
      </c>
      <c r="I8" s="154">
        <v>3912</v>
      </c>
      <c r="J8" s="154">
        <v>3912</v>
      </c>
      <c r="K8" s="154">
        <v>3912</v>
      </c>
      <c r="L8" s="154">
        <v>3912</v>
      </c>
      <c r="M8" s="154">
        <v>3912</v>
      </c>
      <c r="N8" s="154">
        <v>3912</v>
      </c>
      <c r="O8" s="154">
        <v>3912</v>
      </c>
      <c r="P8" s="164" t="s">
        <v>211</v>
      </c>
      <c r="Q8" s="154">
        <v>1</v>
      </c>
      <c r="S8" s="169" t="s">
        <v>211</v>
      </c>
      <c r="T8" s="169" t="s">
        <v>211</v>
      </c>
    </row>
    <row r="9" spans="1:24">
      <c r="A9" s="154" t="str">
        <f t="shared" si="0"/>
        <v>1040</v>
      </c>
      <c r="B9" s="164" t="s">
        <v>125</v>
      </c>
      <c r="C9" s="164" t="s">
        <v>210</v>
      </c>
      <c r="D9" s="154">
        <v>3911</v>
      </c>
      <c r="E9" s="154">
        <v>3911</v>
      </c>
      <c r="F9" s="154">
        <v>3911</v>
      </c>
      <c r="G9" s="154">
        <v>3911</v>
      </c>
      <c r="H9" s="154">
        <v>3911</v>
      </c>
      <c r="I9" s="154">
        <v>3911</v>
      </c>
      <c r="J9" s="154">
        <v>3911</v>
      </c>
      <c r="K9" s="154">
        <v>3911</v>
      </c>
      <c r="L9" s="154">
        <v>3911</v>
      </c>
      <c r="M9" s="154">
        <v>3911</v>
      </c>
      <c r="N9" s="154">
        <v>3911</v>
      </c>
      <c r="O9" s="154">
        <v>3911</v>
      </c>
      <c r="P9" s="164" t="s">
        <v>211</v>
      </c>
      <c r="Q9" s="154">
        <v>38</v>
      </c>
      <c r="S9" s="169" t="s">
        <v>211</v>
      </c>
      <c r="T9" s="169" t="s">
        <v>211</v>
      </c>
    </row>
    <row r="10" spans="1:24">
      <c r="A10" s="154" t="str">
        <f t="shared" si="0"/>
        <v>1045</v>
      </c>
      <c r="B10" s="164" t="s">
        <v>123</v>
      </c>
      <c r="C10" s="164" t="s">
        <v>210</v>
      </c>
      <c r="D10" s="154">
        <v>3911</v>
      </c>
      <c r="E10" s="154">
        <v>3911</v>
      </c>
      <c r="F10" s="154">
        <v>3911</v>
      </c>
      <c r="G10" s="154">
        <v>3911</v>
      </c>
      <c r="H10" s="154">
        <v>3911</v>
      </c>
      <c r="I10" s="154">
        <v>3911</v>
      </c>
      <c r="J10" s="154">
        <v>3911</v>
      </c>
      <c r="K10" s="154">
        <v>3911</v>
      </c>
      <c r="L10" s="154">
        <v>3911</v>
      </c>
      <c r="M10" s="154">
        <v>3911</v>
      </c>
      <c r="N10" s="154">
        <v>3911</v>
      </c>
      <c r="O10" s="154">
        <v>3911</v>
      </c>
      <c r="P10" s="164" t="s">
        <v>211</v>
      </c>
      <c r="Q10" s="154">
        <v>28</v>
      </c>
      <c r="S10" s="169" t="s">
        <v>211</v>
      </c>
      <c r="T10" s="169" t="s">
        <v>211</v>
      </c>
    </row>
    <row r="11" spans="1:24">
      <c r="A11" s="154" t="str">
        <f t="shared" si="0"/>
        <v>1050</v>
      </c>
      <c r="B11" s="164" t="s">
        <v>119</v>
      </c>
      <c r="C11" s="164" t="s">
        <v>210</v>
      </c>
      <c r="D11" s="154">
        <v>3970</v>
      </c>
      <c r="E11" s="154">
        <v>3970</v>
      </c>
      <c r="F11" s="154">
        <v>3970</v>
      </c>
      <c r="G11" s="154">
        <v>3970</v>
      </c>
      <c r="H11" s="154">
        <v>3970</v>
      </c>
      <c r="I11" s="154">
        <v>3970</v>
      </c>
      <c r="J11" s="154">
        <v>3970</v>
      </c>
      <c r="K11" s="154">
        <v>3970</v>
      </c>
      <c r="L11" s="154">
        <v>3970</v>
      </c>
      <c r="M11" s="154">
        <v>3970</v>
      </c>
      <c r="N11" s="154">
        <v>3970</v>
      </c>
      <c r="O11" s="154">
        <v>3970</v>
      </c>
      <c r="P11" s="164" t="s">
        <v>211</v>
      </c>
      <c r="Q11" s="154">
        <v>1</v>
      </c>
      <c r="S11" s="169" t="s">
        <v>211</v>
      </c>
      <c r="T11" s="169" t="s">
        <v>211</v>
      </c>
    </row>
    <row r="12" spans="1:24">
      <c r="A12" s="154" t="str">
        <f t="shared" si="0"/>
        <v>1060</v>
      </c>
      <c r="B12" s="164" t="s">
        <v>133</v>
      </c>
      <c r="C12" s="164" t="s">
        <v>210</v>
      </c>
      <c r="D12" s="154">
        <v>1282</v>
      </c>
      <c r="E12" s="154">
        <v>1282</v>
      </c>
      <c r="F12" s="154">
        <v>1282</v>
      </c>
      <c r="G12" s="154">
        <v>1282</v>
      </c>
      <c r="H12" s="154">
        <v>1282</v>
      </c>
      <c r="I12" s="154">
        <v>1282</v>
      </c>
      <c r="J12" s="154">
        <v>1282</v>
      </c>
      <c r="K12" s="154">
        <v>1282</v>
      </c>
      <c r="L12" s="154">
        <v>1282</v>
      </c>
      <c r="M12" s="154">
        <v>1282</v>
      </c>
      <c r="N12" s="154">
        <v>1282</v>
      </c>
      <c r="O12" s="154">
        <v>1282</v>
      </c>
      <c r="P12" s="164" t="s">
        <v>211</v>
      </c>
      <c r="Q12" s="154">
        <v>1</v>
      </c>
      <c r="S12" s="169" t="s">
        <v>211</v>
      </c>
      <c r="T12" s="169" t="s">
        <v>211</v>
      </c>
      <c r="U12" s="169" t="s">
        <v>211</v>
      </c>
      <c r="V12" s="169" t="s">
        <v>211</v>
      </c>
      <c r="W12" s="169" t="s">
        <v>211</v>
      </c>
    </row>
    <row r="13" spans="1:24">
      <c r="A13" s="154" t="str">
        <f t="shared" si="0"/>
        <v>1070</v>
      </c>
      <c r="B13" s="164" t="s">
        <v>135</v>
      </c>
      <c r="C13" s="164" t="s">
        <v>210</v>
      </c>
      <c r="D13" s="154">
        <v>1282</v>
      </c>
      <c r="E13" s="154">
        <v>1282</v>
      </c>
      <c r="F13" s="154">
        <v>1282</v>
      </c>
      <c r="G13" s="154">
        <v>1282</v>
      </c>
      <c r="H13" s="154">
        <v>1282</v>
      </c>
      <c r="I13" s="154">
        <v>1282</v>
      </c>
      <c r="J13" s="154">
        <v>1282</v>
      </c>
      <c r="K13" s="154">
        <v>1282</v>
      </c>
      <c r="L13" s="154">
        <v>1282</v>
      </c>
      <c r="M13" s="154">
        <v>1282</v>
      </c>
      <c r="N13" s="154">
        <v>1282</v>
      </c>
      <c r="O13" s="154">
        <v>1282</v>
      </c>
      <c r="P13" s="164" t="s">
        <v>211</v>
      </c>
      <c r="Q13" s="154">
        <v>37</v>
      </c>
      <c r="S13" s="169" t="s">
        <v>211</v>
      </c>
      <c r="T13" s="169" t="s">
        <v>211</v>
      </c>
      <c r="U13" s="169" t="s">
        <v>211</v>
      </c>
      <c r="V13" s="169" t="s">
        <v>211</v>
      </c>
      <c r="W13" s="169" t="s">
        <v>211</v>
      </c>
    </row>
    <row r="14" spans="1:24">
      <c r="A14" s="154" t="str">
        <f t="shared" si="0"/>
        <v>1100</v>
      </c>
      <c r="B14" s="164" t="s">
        <v>137</v>
      </c>
      <c r="C14" s="164" t="s">
        <v>210</v>
      </c>
      <c r="D14" s="154">
        <v>3970</v>
      </c>
      <c r="E14" s="154">
        <v>3970</v>
      </c>
      <c r="F14" s="154">
        <v>3970</v>
      </c>
      <c r="G14" s="154">
        <v>3970</v>
      </c>
      <c r="H14" s="154">
        <v>3970</v>
      </c>
      <c r="I14" s="154">
        <v>3970</v>
      </c>
      <c r="J14" s="154">
        <v>3970</v>
      </c>
      <c r="K14" s="154">
        <v>3970</v>
      </c>
      <c r="L14" s="154">
        <v>3970</v>
      </c>
      <c r="M14" s="154">
        <v>3970</v>
      </c>
      <c r="N14" s="154">
        <v>3970</v>
      </c>
      <c r="O14" s="154">
        <v>3970</v>
      </c>
      <c r="P14" s="164" t="s">
        <v>211</v>
      </c>
      <c r="Q14" s="154">
        <v>1</v>
      </c>
      <c r="S14" s="169" t="s">
        <v>211</v>
      </c>
      <c r="T14" s="169" t="s">
        <v>211</v>
      </c>
    </row>
    <row r="15" spans="1:24">
      <c r="A15" s="154" t="str">
        <f t="shared" si="0"/>
        <v>1101</v>
      </c>
      <c r="B15" s="164" t="s">
        <v>139</v>
      </c>
      <c r="C15" s="164" t="s">
        <v>210</v>
      </c>
      <c r="D15" s="154">
        <v>3970</v>
      </c>
      <c r="E15" s="154">
        <v>3970</v>
      </c>
      <c r="F15" s="154">
        <v>3970</v>
      </c>
      <c r="G15" s="154">
        <v>3970</v>
      </c>
      <c r="H15" s="154">
        <v>3970</v>
      </c>
      <c r="I15" s="154">
        <v>3970</v>
      </c>
      <c r="J15" s="154">
        <v>3970</v>
      </c>
      <c r="K15" s="154">
        <v>3970</v>
      </c>
      <c r="L15" s="154">
        <v>3970</v>
      </c>
      <c r="M15" s="154">
        <v>3970</v>
      </c>
      <c r="N15" s="154">
        <v>3970</v>
      </c>
      <c r="O15" s="154">
        <v>3970</v>
      </c>
      <c r="P15" s="164" t="s">
        <v>211</v>
      </c>
      <c r="Q15" s="154">
        <v>37</v>
      </c>
      <c r="S15" s="169" t="s">
        <v>211</v>
      </c>
      <c r="T15" s="169" t="s">
        <v>211</v>
      </c>
    </row>
    <row r="16" spans="1:24">
      <c r="A16" s="154" t="str">
        <f t="shared" si="0"/>
        <v>1110</v>
      </c>
      <c r="B16" s="164" t="s">
        <v>141</v>
      </c>
      <c r="C16" s="164" t="s">
        <v>210</v>
      </c>
      <c r="D16" s="154">
        <v>3710</v>
      </c>
      <c r="E16" s="154">
        <v>3710</v>
      </c>
      <c r="F16" s="154">
        <v>3710</v>
      </c>
      <c r="G16" s="154">
        <v>3710</v>
      </c>
      <c r="H16" s="154">
        <v>3710</v>
      </c>
      <c r="I16" s="154">
        <v>3710</v>
      </c>
      <c r="J16" s="154">
        <v>3710</v>
      </c>
      <c r="K16" s="154">
        <v>3710</v>
      </c>
      <c r="L16" s="154">
        <v>3710</v>
      </c>
      <c r="M16" s="154">
        <v>3710</v>
      </c>
      <c r="N16" s="154">
        <v>3710</v>
      </c>
      <c r="O16" s="154">
        <v>3710</v>
      </c>
      <c r="P16" s="164" t="s">
        <v>211</v>
      </c>
      <c r="Q16" s="154">
        <v>1</v>
      </c>
      <c r="S16" s="169" t="s">
        <v>211</v>
      </c>
      <c r="T16" s="169" t="s">
        <v>211</v>
      </c>
    </row>
    <row r="17" spans="1:23">
      <c r="A17" s="154" t="str">
        <f t="shared" si="0"/>
        <v>1120</v>
      </c>
      <c r="B17" s="164" t="s">
        <v>143</v>
      </c>
      <c r="C17" s="164" t="s">
        <v>210</v>
      </c>
      <c r="D17" s="154">
        <v>3720</v>
      </c>
      <c r="E17" s="154">
        <v>3720</v>
      </c>
      <c r="F17" s="154">
        <v>3720</v>
      </c>
      <c r="G17" s="154">
        <v>3720</v>
      </c>
      <c r="H17" s="154">
        <v>3720</v>
      </c>
      <c r="I17" s="154">
        <v>3720</v>
      </c>
      <c r="J17" s="154">
        <v>3720</v>
      </c>
      <c r="K17" s="154">
        <v>3720</v>
      </c>
      <c r="L17" s="154">
        <v>3720</v>
      </c>
      <c r="M17" s="154">
        <v>3720</v>
      </c>
      <c r="N17" s="154">
        <v>3720</v>
      </c>
      <c r="O17" s="154">
        <v>3720</v>
      </c>
      <c r="P17" s="164" t="s">
        <v>211</v>
      </c>
      <c r="Q17" s="154">
        <v>1</v>
      </c>
      <c r="S17" s="169" t="s">
        <v>211</v>
      </c>
      <c r="T17" s="169" t="s">
        <v>211</v>
      </c>
    </row>
    <row r="18" spans="1:23">
      <c r="A18" s="154" t="str">
        <f t="shared" si="0"/>
        <v>1130</v>
      </c>
      <c r="B18" s="164" t="s">
        <v>145</v>
      </c>
      <c r="C18" s="164" t="s">
        <v>210</v>
      </c>
      <c r="D18" s="154">
        <v>3730</v>
      </c>
      <c r="E18" s="154">
        <v>3730</v>
      </c>
      <c r="F18" s="154">
        <v>3730</v>
      </c>
      <c r="G18" s="154">
        <v>3730</v>
      </c>
      <c r="H18" s="154">
        <v>3730</v>
      </c>
      <c r="I18" s="154">
        <v>3730</v>
      </c>
      <c r="J18" s="154">
        <v>3730</v>
      </c>
      <c r="K18" s="154">
        <v>3730</v>
      </c>
      <c r="L18" s="154">
        <v>3730</v>
      </c>
      <c r="M18" s="154">
        <v>3730</v>
      </c>
      <c r="N18" s="154">
        <v>3730</v>
      </c>
      <c r="O18" s="154">
        <v>3730</v>
      </c>
      <c r="P18" s="164" t="s">
        <v>211</v>
      </c>
      <c r="Q18" s="154">
        <v>1</v>
      </c>
      <c r="S18" s="169" t="s">
        <v>211</v>
      </c>
      <c r="T18" s="169" t="s">
        <v>211</v>
      </c>
    </row>
    <row r="19" spans="1:23">
      <c r="A19" s="154" t="str">
        <f t="shared" si="0"/>
        <v>1140</v>
      </c>
      <c r="B19" s="164" t="s">
        <v>147</v>
      </c>
      <c r="C19" s="164" t="s">
        <v>210</v>
      </c>
      <c r="D19" s="154">
        <v>3740</v>
      </c>
      <c r="E19" s="154">
        <v>3740</v>
      </c>
      <c r="F19" s="154">
        <v>3740</v>
      </c>
      <c r="G19" s="154">
        <v>3740</v>
      </c>
      <c r="H19" s="154">
        <v>3740</v>
      </c>
      <c r="I19" s="154">
        <v>3740</v>
      </c>
      <c r="J19" s="154">
        <v>3740</v>
      </c>
      <c r="K19" s="154">
        <v>3740</v>
      </c>
      <c r="L19" s="154">
        <v>3740</v>
      </c>
      <c r="M19" s="154">
        <v>3740</v>
      </c>
      <c r="N19" s="154">
        <v>3740</v>
      </c>
      <c r="O19" s="154">
        <v>3740</v>
      </c>
      <c r="P19" s="164" t="s">
        <v>211</v>
      </c>
      <c r="Q19" s="154">
        <v>1</v>
      </c>
      <c r="S19" s="169" t="s">
        <v>211</v>
      </c>
      <c r="T19" s="169" t="s">
        <v>211</v>
      </c>
    </row>
    <row r="20" spans="1:23">
      <c r="A20" s="154" t="str">
        <f t="shared" si="0"/>
        <v>1150</v>
      </c>
      <c r="B20" s="164" t="s">
        <v>149</v>
      </c>
      <c r="C20" s="164" t="s">
        <v>210</v>
      </c>
      <c r="D20" s="154">
        <v>3720</v>
      </c>
      <c r="E20" s="154">
        <v>3720</v>
      </c>
      <c r="F20" s="154">
        <v>3720</v>
      </c>
      <c r="G20" s="154">
        <v>3720</v>
      </c>
      <c r="H20" s="154">
        <v>3720</v>
      </c>
      <c r="I20" s="154">
        <v>3720</v>
      </c>
      <c r="J20" s="154">
        <v>3720</v>
      </c>
      <c r="K20" s="154">
        <v>3720</v>
      </c>
      <c r="L20" s="154">
        <v>3720</v>
      </c>
      <c r="M20" s="154">
        <v>3720</v>
      </c>
      <c r="N20" s="154">
        <v>3720</v>
      </c>
      <c r="O20" s="154">
        <v>3720</v>
      </c>
      <c r="P20" s="164" t="s">
        <v>211</v>
      </c>
      <c r="Q20" s="154">
        <v>1</v>
      </c>
      <c r="S20" s="169" t="s">
        <v>211</v>
      </c>
      <c r="T20" s="169" t="s">
        <v>211</v>
      </c>
    </row>
    <row r="21" spans="1:23">
      <c r="A21" s="154" t="str">
        <f t="shared" si="0"/>
        <v>1160</v>
      </c>
      <c r="B21" s="164" t="s">
        <v>151</v>
      </c>
      <c r="C21" s="164" t="s">
        <v>210</v>
      </c>
      <c r="D21" s="154">
        <v>3720</v>
      </c>
      <c r="E21" s="154">
        <v>3720</v>
      </c>
      <c r="F21" s="154">
        <v>3720</v>
      </c>
      <c r="G21" s="154">
        <v>3720</v>
      </c>
      <c r="H21" s="154">
        <v>3720</v>
      </c>
      <c r="I21" s="154">
        <v>3720</v>
      </c>
      <c r="J21" s="154">
        <v>3720</v>
      </c>
      <c r="K21" s="154">
        <v>3720</v>
      </c>
      <c r="L21" s="154">
        <v>3720</v>
      </c>
      <c r="M21" s="154">
        <v>3720</v>
      </c>
      <c r="N21" s="154">
        <v>3720</v>
      </c>
      <c r="O21" s="154">
        <v>3720</v>
      </c>
      <c r="P21" s="164" t="s">
        <v>211</v>
      </c>
      <c r="Q21" s="154">
        <v>37</v>
      </c>
      <c r="S21" s="169" t="s">
        <v>211</v>
      </c>
      <c r="T21" s="169" t="s">
        <v>211</v>
      </c>
    </row>
    <row r="22" spans="1:23">
      <c r="A22" s="154" t="str">
        <f t="shared" si="0"/>
        <v>1170</v>
      </c>
      <c r="B22" s="164" t="s">
        <v>153</v>
      </c>
      <c r="C22" s="164" t="s">
        <v>210</v>
      </c>
      <c r="D22" s="154">
        <v>3750</v>
      </c>
      <c r="E22" s="154">
        <v>3750</v>
      </c>
      <c r="F22" s="154">
        <v>3750</v>
      </c>
      <c r="G22" s="154">
        <v>3750</v>
      </c>
      <c r="H22" s="154">
        <v>3750</v>
      </c>
      <c r="I22" s="154">
        <v>3750</v>
      </c>
      <c r="J22" s="154">
        <v>3750</v>
      </c>
      <c r="K22" s="154">
        <v>3750</v>
      </c>
      <c r="L22" s="154">
        <v>3750</v>
      </c>
      <c r="M22" s="154">
        <v>3750</v>
      </c>
      <c r="N22" s="154">
        <v>3750</v>
      </c>
      <c r="O22" s="154">
        <v>3750</v>
      </c>
      <c r="P22" s="164" t="s">
        <v>211</v>
      </c>
      <c r="Q22" s="154">
        <v>1</v>
      </c>
      <c r="S22" s="169" t="s">
        <v>211</v>
      </c>
      <c r="T22" s="169" t="s">
        <v>211</v>
      </c>
    </row>
    <row r="23" spans="1:23">
      <c r="A23" s="154" t="str">
        <f t="shared" si="0"/>
        <v>1180</v>
      </c>
      <c r="B23" s="164" t="s">
        <v>121</v>
      </c>
      <c r="C23" s="164" t="s">
        <v>210</v>
      </c>
      <c r="D23" s="154">
        <v>3990</v>
      </c>
      <c r="E23" s="154">
        <v>3990</v>
      </c>
      <c r="F23" s="154">
        <v>3990</v>
      </c>
      <c r="G23" s="154">
        <v>3990</v>
      </c>
      <c r="H23" s="154">
        <v>3990</v>
      </c>
      <c r="I23" s="154">
        <v>3990</v>
      </c>
      <c r="J23" s="154">
        <v>3990</v>
      </c>
      <c r="K23" s="154">
        <v>3990</v>
      </c>
      <c r="L23" s="154">
        <v>3990</v>
      </c>
      <c r="M23" s="154">
        <v>3990</v>
      </c>
      <c r="N23" s="154">
        <v>3990</v>
      </c>
      <c r="O23" s="154">
        <v>3990</v>
      </c>
      <c r="P23" s="164" t="s">
        <v>211</v>
      </c>
      <c r="Q23" s="154">
        <v>1</v>
      </c>
      <c r="S23" s="169" t="s">
        <v>211</v>
      </c>
      <c r="T23" s="169" t="s">
        <v>211</v>
      </c>
    </row>
    <row r="24" spans="1:23">
      <c r="A24" s="154" t="str">
        <f t="shared" si="0"/>
        <v>1190</v>
      </c>
      <c r="B24" s="164" t="s">
        <v>156</v>
      </c>
      <c r="C24" s="164" t="s">
        <v>210</v>
      </c>
      <c r="D24" s="154">
        <v>3990</v>
      </c>
      <c r="E24" s="154">
        <v>3990</v>
      </c>
      <c r="F24" s="154">
        <v>3990</v>
      </c>
      <c r="G24" s="154">
        <v>3990</v>
      </c>
      <c r="H24" s="154">
        <v>3990</v>
      </c>
      <c r="I24" s="154">
        <v>3990</v>
      </c>
      <c r="J24" s="154">
        <v>3990</v>
      </c>
      <c r="K24" s="154">
        <v>3990</v>
      </c>
      <c r="L24" s="154">
        <v>3990</v>
      </c>
      <c r="M24" s="154">
        <v>3990</v>
      </c>
      <c r="N24" s="154">
        <v>3990</v>
      </c>
      <c r="O24" s="154">
        <v>3990</v>
      </c>
      <c r="P24" s="164" t="s">
        <v>211</v>
      </c>
      <c r="Q24" s="154">
        <v>38</v>
      </c>
      <c r="S24" s="169" t="s">
        <v>211</v>
      </c>
      <c r="T24" s="169" t="s">
        <v>211</v>
      </c>
    </row>
    <row r="25" spans="1:23">
      <c r="A25" s="154" t="str">
        <f t="shared" si="0"/>
        <v>1200</v>
      </c>
      <c r="B25" s="164" t="s">
        <v>159</v>
      </c>
      <c r="C25" s="164" t="s">
        <v>210</v>
      </c>
      <c r="D25" s="154">
        <v>1281</v>
      </c>
      <c r="E25" s="154">
        <v>1281</v>
      </c>
      <c r="F25" s="154">
        <v>1281</v>
      </c>
      <c r="G25" s="154">
        <v>1281</v>
      </c>
      <c r="H25" s="154">
        <v>1281</v>
      </c>
      <c r="I25" s="154">
        <v>1281</v>
      </c>
      <c r="J25" s="154">
        <v>1281</v>
      </c>
      <c r="K25" s="154">
        <v>1281</v>
      </c>
      <c r="L25" s="154">
        <v>1281</v>
      </c>
      <c r="M25" s="154">
        <v>1281</v>
      </c>
      <c r="N25" s="154">
        <v>1281</v>
      </c>
      <c r="O25" s="154">
        <v>1281</v>
      </c>
      <c r="P25" s="164" t="s">
        <v>211</v>
      </c>
      <c r="Q25" s="154">
        <v>83</v>
      </c>
      <c r="S25" s="169" t="s">
        <v>211</v>
      </c>
      <c r="T25" s="169" t="s">
        <v>211</v>
      </c>
      <c r="U25" s="169" t="s">
        <v>211</v>
      </c>
      <c r="V25" s="169" t="s">
        <v>211</v>
      </c>
      <c r="W25" s="169" t="s">
        <v>211</v>
      </c>
    </row>
    <row r="26" spans="1:23">
      <c r="A26" s="154" t="str">
        <f t="shared" si="0"/>
        <v>1210</v>
      </c>
      <c r="B26" s="164" t="s">
        <v>162</v>
      </c>
      <c r="C26" s="164" t="s">
        <v>210</v>
      </c>
      <c r="D26" s="154">
        <v>1281</v>
      </c>
      <c r="E26" s="154">
        <v>1281</v>
      </c>
      <c r="F26" s="154">
        <v>1281</v>
      </c>
      <c r="G26" s="154">
        <v>1281</v>
      </c>
      <c r="H26" s="154">
        <v>1281</v>
      </c>
      <c r="I26" s="154">
        <v>1281</v>
      </c>
      <c r="J26" s="154">
        <v>1281</v>
      </c>
      <c r="K26" s="154">
        <v>1281</v>
      </c>
      <c r="L26" s="154">
        <v>1281</v>
      </c>
      <c r="M26" s="154">
        <v>1281</v>
      </c>
      <c r="N26" s="154">
        <v>1281</v>
      </c>
      <c r="O26" s="154">
        <v>1281</v>
      </c>
      <c r="P26" s="164" t="s">
        <v>211</v>
      </c>
      <c r="Q26" s="154">
        <v>80</v>
      </c>
      <c r="S26" s="169" t="s">
        <v>211</v>
      </c>
      <c r="T26" s="169" t="s">
        <v>211</v>
      </c>
      <c r="U26" s="169" t="s">
        <v>211</v>
      </c>
      <c r="V26" s="169" t="s">
        <v>211</v>
      </c>
      <c r="W26" s="169" t="s">
        <v>211</v>
      </c>
    </row>
    <row r="27" spans="1:23">
      <c r="A27" s="154" t="str">
        <f t="shared" si="0"/>
        <v>1220</v>
      </c>
      <c r="B27" s="164" t="s">
        <v>164</v>
      </c>
      <c r="C27" s="164" t="s">
        <v>210</v>
      </c>
      <c r="D27" s="154">
        <v>1281</v>
      </c>
      <c r="E27" s="154">
        <v>1281</v>
      </c>
      <c r="F27" s="154">
        <v>1281</v>
      </c>
      <c r="G27" s="154">
        <v>1281</v>
      </c>
      <c r="H27" s="154">
        <v>1281</v>
      </c>
      <c r="I27" s="154">
        <v>1281</v>
      </c>
      <c r="J27" s="154">
        <v>1281</v>
      </c>
      <c r="K27" s="154">
        <v>1281</v>
      </c>
      <c r="L27" s="154">
        <v>1281</v>
      </c>
      <c r="M27" s="154">
        <v>1281</v>
      </c>
      <c r="N27" s="154">
        <v>1281</v>
      </c>
      <c r="O27" s="154">
        <v>1281</v>
      </c>
      <c r="P27" s="164" t="s">
        <v>211</v>
      </c>
      <c r="Q27" s="154">
        <v>80</v>
      </c>
      <c r="S27" s="169" t="s">
        <v>211</v>
      </c>
      <c r="T27" s="169" t="s">
        <v>211</v>
      </c>
      <c r="U27" s="169" t="s">
        <v>211</v>
      </c>
      <c r="V27" s="169" t="s">
        <v>211</v>
      </c>
      <c r="W27" s="169" t="s">
        <v>211</v>
      </c>
    </row>
    <row r="28" spans="1:23">
      <c r="A28" s="154" t="str">
        <f t="shared" si="0"/>
        <v>1230</v>
      </c>
      <c r="B28" s="164" t="s">
        <v>168</v>
      </c>
      <c r="C28" s="164" t="s">
        <v>210</v>
      </c>
      <c r="D28" s="154">
        <v>3992</v>
      </c>
      <c r="E28" s="154">
        <v>3992</v>
      </c>
      <c r="F28" s="154">
        <v>3992</v>
      </c>
      <c r="G28" s="154">
        <v>3992</v>
      </c>
      <c r="H28" s="154">
        <v>3992</v>
      </c>
      <c r="I28" s="154">
        <v>3992</v>
      </c>
      <c r="J28" s="154">
        <v>3992</v>
      </c>
      <c r="K28" s="154">
        <v>3992</v>
      </c>
      <c r="L28" s="154">
        <v>3992</v>
      </c>
      <c r="M28" s="154">
        <v>3992</v>
      </c>
      <c r="N28" s="154">
        <v>3992</v>
      </c>
      <c r="O28" s="154">
        <v>3992</v>
      </c>
      <c r="P28" s="164" t="s">
        <v>211</v>
      </c>
      <c r="Q28" s="154">
        <v>82</v>
      </c>
      <c r="S28" s="169" t="s">
        <v>211</v>
      </c>
      <c r="T28" s="169" t="s">
        <v>211</v>
      </c>
    </row>
    <row r="29" spans="1:23">
      <c r="A29" s="154" t="str">
        <f t="shared" si="0"/>
        <v>1240</v>
      </c>
      <c r="B29" s="154" t="s">
        <v>166</v>
      </c>
      <c r="C29" s="154" t="s">
        <v>210</v>
      </c>
      <c r="D29" s="154">
        <v>1281</v>
      </c>
      <c r="E29" s="154">
        <v>1281</v>
      </c>
      <c r="F29" s="154">
        <v>1281</v>
      </c>
      <c r="G29" s="154">
        <v>1281</v>
      </c>
      <c r="H29" s="154">
        <v>1281</v>
      </c>
      <c r="I29" s="154">
        <v>1281</v>
      </c>
      <c r="J29" s="154">
        <v>1281</v>
      </c>
      <c r="K29" s="154">
        <v>1281</v>
      </c>
      <c r="L29" s="154">
        <v>1281</v>
      </c>
      <c r="M29" s="154">
        <v>1281</v>
      </c>
      <c r="N29" s="154">
        <v>1281</v>
      </c>
      <c r="O29" s="154">
        <v>1281</v>
      </c>
      <c r="P29" s="154" t="s">
        <v>211</v>
      </c>
      <c r="Q29" s="154">
        <v>80</v>
      </c>
      <c r="S29" s="169" t="s">
        <v>211</v>
      </c>
      <c r="T29" s="169" t="s">
        <v>211</v>
      </c>
      <c r="U29" s="169" t="s">
        <v>211</v>
      </c>
      <c r="V29" s="169" t="s">
        <v>211</v>
      </c>
      <c r="W29" s="169" t="s">
        <v>211</v>
      </c>
    </row>
    <row r="30" spans="1:23">
      <c r="A30" s="154" t="str">
        <f t="shared" si="0"/>
        <v>1250</v>
      </c>
      <c r="B30" s="154" t="s">
        <v>171</v>
      </c>
      <c r="C30" s="154" t="s">
        <v>210</v>
      </c>
      <c r="D30" s="154">
        <v>1281</v>
      </c>
      <c r="E30" s="154">
        <v>1281</v>
      </c>
      <c r="F30" s="154">
        <v>1281</v>
      </c>
      <c r="G30" s="154">
        <v>1281</v>
      </c>
      <c r="H30" s="154">
        <v>1281</v>
      </c>
      <c r="I30" s="154">
        <v>1281</v>
      </c>
      <c r="J30" s="154">
        <v>1281</v>
      </c>
      <c r="K30" s="154">
        <v>1281</v>
      </c>
      <c r="L30" s="154">
        <v>1281</v>
      </c>
      <c r="M30" s="154">
        <v>1281</v>
      </c>
      <c r="N30" s="154">
        <v>1281</v>
      </c>
      <c r="O30" s="154">
        <v>1281</v>
      </c>
      <c r="P30" s="154" t="s">
        <v>211</v>
      </c>
      <c r="Q30" s="154">
        <v>80</v>
      </c>
      <c r="S30" s="169" t="s">
        <v>211</v>
      </c>
      <c r="T30" s="169" t="s">
        <v>211</v>
      </c>
      <c r="U30" s="169" t="s">
        <v>211</v>
      </c>
      <c r="V30" s="169" t="s">
        <v>211</v>
      </c>
      <c r="W30" s="169" t="s">
        <v>211</v>
      </c>
    </row>
    <row r="31" spans="1:23">
      <c r="A31" s="154" t="str">
        <f t="shared" si="0"/>
        <v>1300</v>
      </c>
      <c r="B31" s="164" t="s">
        <v>173</v>
      </c>
      <c r="C31" s="154" t="s">
        <v>210</v>
      </c>
      <c r="D31" s="154">
        <v>3940</v>
      </c>
      <c r="E31" s="154">
        <f t="shared" ref="E31:O32" si="1">$D31</f>
        <v>3940</v>
      </c>
      <c r="F31" s="154">
        <f t="shared" si="1"/>
        <v>3940</v>
      </c>
      <c r="G31" s="154">
        <f t="shared" si="1"/>
        <v>3940</v>
      </c>
      <c r="H31" s="154">
        <f t="shared" si="1"/>
        <v>3940</v>
      </c>
      <c r="I31" s="154">
        <f t="shared" si="1"/>
        <v>3940</v>
      </c>
      <c r="J31" s="154">
        <f t="shared" si="1"/>
        <v>3940</v>
      </c>
      <c r="K31" s="154">
        <f t="shared" si="1"/>
        <v>3940</v>
      </c>
      <c r="L31" s="154">
        <f t="shared" si="1"/>
        <v>3940</v>
      </c>
      <c r="M31" s="154">
        <f t="shared" si="1"/>
        <v>3940</v>
      </c>
      <c r="N31" s="154">
        <f t="shared" si="1"/>
        <v>3940</v>
      </c>
      <c r="O31" s="154">
        <f t="shared" si="1"/>
        <v>3940</v>
      </c>
      <c r="P31" s="154" t="s">
        <v>211</v>
      </c>
      <c r="Q31" s="154">
        <v>1</v>
      </c>
      <c r="S31" s="169" t="s">
        <v>211</v>
      </c>
      <c r="T31" s="169" t="s">
        <v>211</v>
      </c>
    </row>
    <row r="32" spans="1:23">
      <c r="A32" s="154" t="str">
        <f t="shared" si="0"/>
        <v>1350</v>
      </c>
      <c r="B32" s="164" t="s">
        <v>176</v>
      </c>
      <c r="C32" s="154" t="s">
        <v>210</v>
      </c>
      <c r="D32" s="154">
        <v>3950</v>
      </c>
      <c r="E32" s="154">
        <f t="shared" si="1"/>
        <v>3950</v>
      </c>
      <c r="F32" s="154">
        <f t="shared" si="1"/>
        <v>3950</v>
      </c>
      <c r="G32" s="154">
        <f t="shared" si="1"/>
        <v>3950</v>
      </c>
      <c r="H32" s="154">
        <f t="shared" si="1"/>
        <v>3950</v>
      </c>
      <c r="I32" s="154">
        <f t="shared" si="1"/>
        <v>3950</v>
      </c>
      <c r="J32" s="154">
        <f t="shared" si="1"/>
        <v>3950</v>
      </c>
      <c r="K32" s="154">
        <f t="shared" si="1"/>
        <v>3950</v>
      </c>
      <c r="L32" s="154">
        <f t="shared" si="1"/>
        <v>3950</v>
      </c>
      <c r="M32" s="154">
        <f t="shared" si="1"/>
        <v>3950</v>
      </c>
      <c r="N32" s="154">
        <f t="shared" si="1"/>
        <v>3950</v>
      </c>
      <c r="O32" s="154">
        <f t="shared" si="1"/>
        <v>3950</v>
      </c>
      <c r="P32" s="154" t="s">
        <v>211</v>
      </c>
      <c r="Q32" s="154">
        <v>1</v>
      </c>
      <c r="S32" s="169" t="s">
        <v>211</v>
      </c>
      <c r="T32" s="169" t="s">
        <v>211</v>
      </c>
    </row>
    <row r="33" spans="1:23">
      <c r="A33" s="154" t="str">
        <f t="shared" si="0"/>
        <v>1400</v>
      </c>
      <c r="B33" s="164" t="s">
        <v>178</v>
      </c>
      <c r="C33" s="154" t="s">
        <v>213</v>
      </c>
      <c r="D33" s="154">
        <v>6920</v>
      </c>
      <c r="E33" s="154">
        <v>6920</v>
      </c>
      <c r="F33" s="154">
        <v>6920</v>
      </c>
      <c r="G33" s="154">
        <v>6920</v>
      </c>
      <c r="H33" s="154">
        <v>6920</v>
      </c>
      <c r="I33" s="154">
        <v>6920</v>
      </c>
      <c r="J33" s="154">
        <v>6920</v>
      </c>
      <c r="K33" s="154">
        <v>6920</v>
      </c>
      <c r="L33" s="154">
        <v>6920</v>
      </c>
      <c r="M33" s="154">
        <v>6920</v>
      </c>
      <c r="N33" s="154">
        <v>6920</v>
      </c>
      <c r="O33" s="154">
        <v>6920</v>
      </c>
      <c r="P33" s="154" t="s">
        <v>211</v>
      </c>
      <c r="Q33" s="154">
        <v>1</v>
      </c>
      <c r="S33" s="169" t="s">
        <v>211</v>
      </c>
      <c r="T33" s="169" t="s">
        <v>211</v>
      </c>
    </row>
    <row r="34" spans="1:23">
      <c r="A34" s="154" t="str">
        <f t="shared" si="0"/>
        <v>1450</v>
      </c>
      <c r="B34" s="164" t="s">
        <v>180</v>
      </c>
      <c r="C34" s="154" t="s">
        <v>213</v>
      </c>
      <c r="D34" s="154">
        <v>6920</v>
      </c>
      <c r="E34" s="154">
        <v>6920</v>
      </c>
      <c r="F34" s="154">
        <v>6920</v>
      </c>
      <c r="G34" s="154">
        <v>6920</v>
      </c>
      <c r="H34" s="154">
        <v>6920</v>
      </c>
      <c r="I34" s="154">
        <v>6920</v>
      </c>
      <c r="J34" s="154">
        <v>6920</v>
      </c>
      <c r="K34" s="154">
        <v>6920</v>
      </c>
      <c r="L34" s="154">
        <v>6920</v>
      </c>
      <c r="M34" s="154">
        <v>6920</v>
      </c>
      <c r="N34" s="154">
        <v>6920</v>
      </c>
      <c r="O34" s="154">
        <v>6920</v>
      </c>
      <c r="P34" s="154" t="s">
        <v>211</v>
      </c>
      <c r="Q34" s="154">
        <v>37</v>
      </c>
      <c r="S34" s="169" t="s">
        <v>211</v>
      </c>
      <c r="T34" s="169" t="s">
        <v>211</v>
      </c>
    </row>
    <row r="35" spans="1:23">
      <c r="A35" s="154" t="str">
        <f t="shared" si="0"/>
        <v>1460</v>
      </c>
      <c r="B35" s="154" t="s">
        <v>182</v>
      </c>
      <c r="C35" s="154" t="s">
        <v>210</v>
      </c>
      <c r="D35" s="154">
        <v>4215</v>
      </c>
      <c r="E35" s="154">
        <v>4215</v>
      </c>
      <c r="F35" s="154">
        <v>4215</v>
      </c>
      <c r="G35" s="154">
        <v>4215</v>
      </c>
      <c r="H35" s="154">
        <v>4215</v>
      </c>
      <c r="I35" s="154">
        <v>4215</v>
      </c>
      <c r="J35" s="154">
        <v>4215</v>
      </c>
      <c r="K35" s="154">
        <v>4215</v>
      </c>
      <c r="L35" s="154">
        <v>4215</v>
      </c>
      <c r="M35" s="154">
        <v>4215</v>
      </c>
      <c r="N35" s="154">
        <v>4215</v>
      </c>
      <c r="O35" s="154">
        <v>4215</v>
      </c>
      <c r="P35" s="154" t="s">
        <v>211</v>
      </c>
      <c r="Q35" s="154">
        <v>1</v>
      </c>
      <c r="S35" s="169" t="s">
        <v>211</v>
      </c>
      <c r="T35" s="169" t="s">
        <v>211</v>
      </c>
    </row>
    <row r="36" spans="1:23">
      <c r="A36" s="154" t="str">
        <f t="shared" si="0"/>
        <v>1131</v>
      </c>
      <c r="B36" s="154" t="s">
        <v>185</v>
      </c>
      <c r="C36" s="154" t="s">
        <v>210</v>
      </c>
      <c r="D36" s="154">
        <v>2423</v>
      </c>
      <c r="E36" s="154">
        <v>2423</v>
      </c>
      <c r="F36" s="154">
        <v>2423</v>
      </c>
      <c r="G36" s="154">
        <v>2423</v>
      </c>
      <c r="H36" s="154">
        <v>2423</v>
      </c>
      <c r="I36" s="154">
        <v>2423</v>
      </c>
      <c r="J36" s="154">
        <v>2423</v>
      </c>
      <c r="K36" s="154">
        <v>2423</v>
      </c>
      <c r="L36" s="154">
        <v>2423</v>
      </c>
      <c r="M36" s="154">
        <v>2423</v>
      </c>
      <c r="N36" s="154">
        <v>2423</v>
      </c>
      <c r="O36" s="154">
        <v>2423</v>
      </c>
      <c r="P36" s="154" t="s">
        <v>211</v>
      </c>
      <c r="Q36" s="154">
        <v>1</v>
      </c>
      <c r="S36" s="169" t="s">
        <v>211</v>
      </c>
      <c r="T36" s="169" t="s">
        <v>211</v>
      </c>
    </row>
    <row r="37" spans="1:23">
      <c r="A37" s="154" t="str">
        <f t="shared" si="0"/>
        <v>1171</v>
      </c>
      <c r="B37" s="154" t="s">
        <v>187</v>
      </c>
      <c r="C37" s="154" t="s">
        <v>210</v>
      </c>
      <c r="D37" s="154">
        <v>3750</v>
      </c>
      <c r="E37" s="154">
        <v>3750</v>
      </c>
      <c r="F37" s="154">
        <v>3750</v>
      </c>
      <c r="G37" s="154">
        <v>3750</v>
      </c>
      <c r="H37" s="154">
        <v>3750</v>
      </c>
      <c r="I37" s="154">
        <v>3750</v>
      </c>
      <c r="J37" s="154">
        <v>3750</v>
      </c>
      <c r="K37" s="154">
        <v>3750</v>
      </c>
      <c r="L37" s="154">
        <v>3750</v>
      </c>
      <c r="M37" s="154">
        <v>3750</v>
      </c>
      <c r="N37" s="154">
        <v>3750</v>
      </c>
      <c r="O37" s="154">
        <v>3750</v>
      </c>
      <c r="P37" s="154" t="s">
        <v>211</v>
      </c>
      <c r="Q37" s="154">
        <v>82</v>
      </c>
      <c r="S37" s="169" t="s">
        <v>211</v>
      </c>
      <c r="T37" s="169" t="s">
        <v>211</v>
      </c>
      <c r="W37" s="169" t="s">
        <v>211</v>
      </c>
    </row>
    <row r="38" spans="1:23">
      <c r="A38" s="154" t="str">
        <f t="shared" si="0"/>
        <v>1251</v>
      </c>
      <c r="B38" s="205" t="s">
        <v>189</v>
      </c>
      <c r="C38" s="154" t="s">
        <v>210</v>
      </c>
      <c r="D38" s="154">
        <v>1281</v>
      </c>
      <c r="E38" s="154">
        <v>1281</v>
      </c>
      <c r="F38" s="154">
        <v>1281</v>
      </c>
      <c r="G38" s="154">
        <v>1281</v>
      </c>
      <c r="H38" s="154">
        <v>1281</v>
      </c>
      <c r="I38" s="154">
        <v>1281</v>
      </c>
      <c r="J38" s="154">
        <v>1281</v>
      </c>
      <c r="K38" s="154">
        <v>1281</v>
      </c>
      <c r="L38" s="154">
        <v>1281</v>
      </c>
      <c r="M38" s="154">
        <v>1281</v>
      </c>
      <c r="N38" s="154">
        <v>1281</v>
      </c>
      <c r="O38" s="154">
        <v>1281</v>
      </c>
      <c r="P38" s="205" t="s">
        <v>211</v>
      </c>
      <c r="Q38" s="154">
        <v>80</v>
      </c>
      <c r="S38" s="327" t="s">
        <v>211</v>
      </c>
      <c r="T38" s="327" t="s">
        <v>211</v>
      </c>
      <c r="U38" s="327" t="s">
        <v>211</v>
      </c>
    </row>
    <row r="39" spans="1:23">
      <c r="A39" s="154" t="str">
        <f t="shared" si="0"/>
        <v>1252</v>
      </c>
      <c r="B39" s="205" t="s">
        <v>191</v>
      </c>
      <c r="C39" s="154" t="s">
        <v>210</v>
      </c>
      <c r="D39" s="154">
        <v>1281</v>
      </c>
      <c r="E39" s="154">
        <v>1281</v>
      </c>
      <c r="F39" s="154">
        <v>1281</v>
      </c>
      <c r="G39" s="154">
        <v>1281</v>
      </c>
      <c r="H39" s="154">
        <v>1281</v>
      </c>
      <c r="I39" s="154">
        <v>1281</v>
      </c>
      <c r="J39" s="154">
        <v>1281</v>
      </c>
      <c r="K39" s="154">
        <v>1281</v>
      </c>
      <c r="L39" s="154">
        <v>1281</v>
      </c>
      <c r="M39" s="154">
        <v>1281</v>
      </c>
      <c r="N39" s="154">
        <v>1281</v>
      </c>
      <c r="O39" s="154">
        <v>1281</v>
      </c>
      <c r="P39" s="205" t="s">
        <v>211</v>
      </c>
      <c r="Q39" s="154">
        <v>80</v>
      </c>
      <c r="S39" s="327" t="s">
        <v>211</v>
      </c>
      <c r="T39" s="327" t="s">
        <v>211</v>
      </c>
      <c r="U39" s="327" t="s">
        <v>211</v>
      </c>
    </row>
    <row r="40" spans="1:23">
      <c r="A40" s="154" t="str">
        <f t="shared" si="0"/>
        <v/>
      </c>
    </row>
    <row r="41" spans="1:23">
      <c r="A41" s="154" t="str">
        <f t="shared" si="0"/>
        <v/>
      </c>
    </row>
    <row r="42" spans="1:23">
      <c r="A42" s="154" t="str">
        <f t="shared" si="0"/>
        <v/>
      </c>
    </row>
    <row r="43" spans="1:23">
      <c r="A43" s="154" t="str">
        <f t="shared" si="0"/>
        <v/>
      </c>
    </row>
    <row r="44" spans="1:23">
      <c r="A44" s="154" t="str">
        <f t="shared" si="0"/>
        <v/>
      </c>
    </row>
    <row r="45" spans="1:23">
      <c r="A45" s="154" t="str">
        <f t="shared" si="0"/>
        <v/>
      </c>
    </row>
    <row r="46" spans="1:23">
      <c r="A46" s="154" t="str">
        <f t="shared" si="0"/>
        <v/>
      </c>
    </row>
    <row r="47" spans="1:23">
      <c r="A47" s="154" t="str">
        <f t="shared" si="0"/>
        <v/>
      </c>
    </row>
    <row r="48" spans="1:23">
      <c r="A48" s="154" t="str">
        <f t="shared" si="0"/>
        <v/>
      </c>
    </row>
    <row r="49" spans="1:1">
      <c r="A49" s="154" t="str">
        <f t="shared" si="0"/>
        <v/>
      </c>
    </row>
    <row r="50" spans="1:1">
      <c r="A50" s="154" t="str">
        <f t="shared" si="0"/>
        <v/>
      </c>
    </row>
    <row r="51" spans="1:1">
      <c r="A51" s="154" t="str">
        <f t="shared" si="0"/>
        <v/>
      </c>
    </row>
    <row r="52" spans="1:1">
      <c r="A52" s="154" t="str">
        <f t="shared" si="0"/>
        <v/>
      </c>
    </row>
    <row r="53" spans="1:1">
      <c r="A53" s="154" t="str">
        <f t="shared" si="0"/>
        <v/>
      </c>
    </row>
    <row r="54" spans="1:1">
      <c r="A54" s="154" t="str">
        <f t="shared" si="0"/>
        <v/>
      </c>
    </row>
    <row r="55" spans="1:1">
      <c r="A55" s="154" t="str">
        <f t="shared" si="0"/>
        <v/>
      </c>
    </row>
    <row r="56" spans="1:1">
      <c r="A56" s="154" t="str">
        <f t="shared" si="0"/>
        <v/>
      </c>
    </row>
    <row r="57" spans="1:1">
      <c r="A57" s="154" t="str">
        <f t="shared" si="0"/>
        <v/>
      </c>
    </row>
    <row r="58" spans="1:1">
      <c r="A58" s="154" t="str">
        <f t="shared" si="0"/>
        <v/>
      </c>
    </row>
    <row r="59" spans="1:1">
      <c r="A59" s="154" t="str">
        <f t="shared" si="0"/>
        <v/>
      </c>
    </row>
    <row r="60" spans="1:1">
      <c r="A60" s="154" t="str">
        <f t="shared" si="0"/>
        <v/>
      </c>
    </row>
    <row r="61" spans="1:1">
      <c r="A61" s="154" t="str">
        <f t="shared" si="0"/>
        <v/>
      </c>
    </row>
    <row r="62" spans="1:1">
      <c r="A62" s="154" t="str">
        <f t="shared" si="0"/>
        <v/>
      </c>
    </row>
    <row r="63" spans="1:1">
      <c r="A63" s="154" t="str">
        <f t="shared" si="0"/>
        <v/>
      </c>
    </row>
    <row r="64" spans="1:1">
      <c r="A64" s="154" t="str">
        <f t="shared" si="0"/>
        <v/>
      </c>
    </row>
    <row r="65" spans="1:1">
      <c r="A65" s="154" t="str">
        <f t="shared" si="0"/>
        <v/>
      </c>
    </row>
    <row r="66" spans="1:1">
      <c r="A66" s="154" t="str">
        <f t="shared" si="0"/>
        <v/>
      </c>
    </row>
    <row r="67" spans="1:1">
      <c r="A67" s="154" t="str">
        <f t="shared" ref="A67:A130" si="2">LEFT(B67,4)</f>
        <v/>
      </c>
    </row>
    <row r="68" spans="1:1">
      <c r="A68" s="154" t="str">
        <f t="shared" si="2"/>
        <v/>
      </c>
    </row>
    <row r="69" spans="1:1">
      <c r="A69" s="154" t="str">
        <f t="shared" si="2"/>
        <v/>
      </c>
    </row>
    <row r="70" spans="1:1">
      <c r="A70" s="154" t="str">
        <f t="shared" si="2"/>
        <v/>
      </c>
    </row>
    <row r="71" spans="1:1">
      <c r="A71" s="154" t="str">
        <f t="shared" si="2"/>
        <v/>
      </c>
    </row>
    <row r="72" spans="1:1">
      <c r="A72" s="154" t="str">
        <f t="shared" si="2"/>
        <v/>
      </c>
    </row>
    <row r="73" spans="1:1">
      <c r="A73" s="154" t="str">
        <f t="shared" si="2"/>
        <v/>
      </c>
    </row>
    <row r="74" spans="1:1">
      <c r="A74" s="154" t="str">
        <f t="shared" si="2"/>
        <v/>
      </c>
    </row>
    <row r="75" spans="1:1">
      <c r="A75" s="154" t="str">
        <f t="shared" si="2"/>
        <v/>
      </c>
    </row>
    <row r="76" spans="1:1">
      <c r="A76" s="154" t="str">
        <f t="shared" si="2"/>
        <v/>
      </c>
    </row>
    <row r="77" spans="1:1">
      <c r="A77" s="154" t="str">
        <f t="shared" si="2"/>
        <v/>
      </c>
    </row>
    <row r="78" spans="1:1">
      <c r="A78" s="154" t="str">
        <f t="shared" si="2"/>
        <v/>
      </c>
    </row>
    <row r="79" spans="1:1">
      <c r="A79" s="154" t="str">
        <f t="shared" si="2"/>
        <v/>
      </c>
    </row>
    <row r="80" spans="1:1">
      <c r="A80" s="154" t="str">
        <f t="shared" si="2"/>
        <v/>
      </c>
    </row>
    <row r="81" spans="1:1">
      <c r="A81" s="154" t="str">
        <f t="shared" si="2"/>
        <v/>
      </c>
    </row>
    <row r="82" spans="1:1">
      <c r="A82" s="154" t="str">
        <f t="shared" si="2"/>
        <v/>
      </c>
    </row>
    <row r="83" spans="1:1">
      <c r="A83" s="154" t="str">
        <f t="shared" si="2"/>
        <v/>
      </c>
    </row>
    <row r="84" spans="1:1">
      <c r="A84" s="154" t="str">
        <f t="shared" si="2"/>
        <v/>
      </c>
    </row>
    <row r="85" spans="1:1">
      <c r="A85" s="154" t="str">
        <f t="shared" si="2"/>
        <v/>
      </c>
    </row>
    <row r="86" spans="1:1">
      <c r="A86" s="154" t="str">
        <f t="shared" si="2"/>
        <v/>
      </c>
    </row>
    <row r="87" spans="1:1">
      <c r="A87" s="154" t="str">
        <f t="shared" si="2"/>
        <v/>
      </c>
    </row>
    <row r="88" spans="1:1">
      <c r="A88" s="154" t="str">
        <f t="shared" si="2"/>
        <v/>
      </c>
    </row>
    <row r="89" spans="1:1">
      <c r="A89" s="154" t="str">
        <f t="shared" si="2"/>
        <v/>
      </c>
    </row>
    <row r="90" spans="1:1">
      <c r="A90" s="154" t="str">
        <f t="shared" si="2"/>
        <v/>
      </c>
    </row>
    <row r="91" spans="1:1">
      <c r="A91" s="154" t="str">
        <f t="shared" si="2"/>
        <v/>
      </c>
    </row>
    <row r="92" spans="1:1">
      <c r="A92" s="154" t="str">
        <f t="shared" si="2"/>
        <v/>
      </c>
    </row>
    <row r="93" spans="1:1">
      <c r="A93" s="154" t="str">
        <f t="shared" si="2"/>
        <v/>
      </c>
    </row>
    <row r="94" spans="1:1">
      <c r="A94" s="154" t="str">
        <f t="shared" si="2"/>
        <v/>
      </c>
    </row>
    <row r="95" spans="1:1">
      <c r="A95" s="154" t="str">
        <f t="shared" si="2"/>
        <v/>
      </c>
    </row>
    <row r="96" spans="1:1">
      <c r="A96" s="154" t="str">
        <f t="shared" si="2"/>
        <v/>
      </c>
    </row>
    <row r="97" spans="1:1">
      <c r="A97" s="154" t="str">
        <f t="shared" si="2"/>
        <v/>
      </c>
    </row>
    <row r="98" spans="1:1">
      <c r="A98" s="154" t="str">
        <f t="shared" si="2"/>
        <v/>
      </c>
    </row>
    <row r="99" spans="1:1">
      <c r="A99" s="154" t="str">
        <f t="shared" si="2"/>
        <v/>
      </c>
    </row>
    <row r="100" spans="1:1">
      <c r="A100" s="154" t="str">
        <f t="shared" si="2"/>
        <v/>
      </c>
    </row>
    <row r="101" spans="1:1">
      <c r="A101" s="154" t="str">
        <f t="shared" si="2"/>
        <v/>
      </c>
    </row>
    <row r="102" spans="1:1">
      <c r="A102" s="154" t="str">
        <f t="shared" si="2"/>
        <v/>
      </c>
    </row>
    <row r="103" spans="1:1">
      <c r="A103" s="154" t="str">
        <f t="shared" si="2"/>
        <v/>
      </c>
    </row>
    <row r="104" spans="1:1">
      <c r="A104" s="154" t="str">
        <f t="shared" si="2"/>
        <v/>
      </c>
    </row>
    <row r="105" spans="1:1">
      <c r="A105" s="154" t="str">
        <f t="shared" si="2"/>
        <v/>
      </c>
    </row>
    <row r="106" spans="1:1">
      <c r="A106" s="154" t="str">
        <f t="shared" si="2"/>
        <v/>
      </c>
    </row>
    <row r="107" spans="1:1">
      <c r="A107" s="154" t="str">
        <f t="shared" si="2"/>
        <v/>
      </c>
    </row>
    <row r="108" spans="1:1">
      <c r="A108" s="154" t="str">
        <f t="shared" si="2"/>
        <v/>
      </c>
    </row>
    <row r="109" spans="1:1">
      <c r="A109" s="154" t="str">
        <f t="shared" si="2"/>
        <v/>
      </c>
    </row>
    <row r="110" spans="1:1">
      <c r="A110" s="154" t="str">
        <f t="shared" si="2"/>
        <v/>
      </c>
    </row>
    <row r="111" spans="1:1">
      <c r="A111" s="154" t="str">
        <f t="shared" si="2"/>
        <v/>
      </c>
    </row>
    <row r="112" spans="1:1">
      <c r="A112" s="154" t="str">
        <f t="shared" si="2"/>
        <v/>
      </c>
    </row>
    <row r="113" spans="1:1">
      <c r="A113" s="154" t="str">
        <f t="shared" si="2"/>
        <v/>
      </c>
    </row>
    <row r="114" spans="1:1">
      <c r="A114" s="154" t="str">
        <f t="shared" si="2"/>
        <v/>
      </c>
    </row>
    <row r="115" spans="1:1">
      <c r="A115" s="154" t="str">
        <f t="shared" si="2"/>
        <v/>
      </c>
    </row>
    <row r="116" spans="1:1">
      <c r="A116" s="154" t="str">
        <f t="shared" si="2"/>
        <v/>
      </c>
    </row>
    <row r="117" spans="1:1">
      <c r="A117" s="154" t="str">
        <f t="shared" si="2"/>
        <v/>
      </c>
    </row>
    <row r="118" spans="1:1">
      <c r="A118" s="154" t="str">
        <f t="shared" si="2"/>
        <v/>
      </c>
    </row>
    <row r="119" spans="1:1">
      <c r="A119" s="154" t="str">
        <f t="shared" si="2"/>
        <v/>
      </c>
    </row>
    <row r="120" spans="1:1">
      <c r="A120" s="154" t="str">
        <f t="shared" si="2"/>
        <v/>
      </c>
    </row>
    <row r="121" spans="1:1">
      <c r="A121" s="154" t="str">
        <f t="shared" si="2"/>
        <v/>
      </c>
    </row>
    <row r="122" spans="1:1">
      <c r="A122" s="154" t="str">
        <f t="shared" si="2"/>
        <v/>
      </c>
    </row>
    <row r="123" spans="1:1">
      <c r="A123" s="154" t="str">
        <f t="shared" si="2"/>
        <v/>
      </c>
    </row>
    <row r="124" spans="1:1">
      <c r="A124" s="154" t="str">
        <f t="shared" si="2"/>
        <v/>
      </c>
    </row>
    <row r="125" spans="1:1">
      <c r="A125" s="154" t="str">
        <f t="shared" si="2"/>
        <v/>
      </c>
    </row>
    <row r="126" spans="1:1">
      <c r="A126" s="154" t="str">
        <f t="shared" si="2"/>
        <v/>
      </c>
    </row>
    <row r="127" spans="1:1">
      <c r="A127" s="154" t="str">
        <f t="shared" si="2"/>
        <v/>
      </c>
    </row>
    <row r="128" spans="1:1">
      <c r="A128" s="154" t="str">
        <f t="shared" si="2"/>
        <v/>
      </c>
    </row>
    <row r="129" spans="1:1">
      <c r="A129" s="154" t="str">
        <f t="shared" si="2"/>
        <v/>
      </c>
    </row>
    <row r="130" spans="1:1">
      <c r="A130" s="154" t="str">
        <f t="shared" si="2"/>
        <v/>
      </c>
    </row>
    <row r="131" spans="1:1">
      <c r="A131" s="154" t="str">
        <f t="shared" ref="A131:A194" si="3">LEFT(B131,4)</f>
        <v/>
      </c>
    </row>
    <row r="132" spans="1:1">
      <c r="A132" s="154" t="str">
        <f t="shared" si="3"/>
        <v/>
      </c>
    </row>
    <row r="133" spans="1:1">
      <c r="A133" s="154" t="str">
        <f t="shared" si="3"/>
        <v/>
      </c>
    </row>
    <row r="134" spans="1:1">
      <c r="A134" s="154" t="str">
        <f t="shared" si="3"/>
        <v/>
      </c>
    </row>
    <row r="135" spans="1:1">
      <c r="A135" s="154" t="str">
        <f t="shared" si="3"/>
        <v/>
      </c>
    </row>
    <row r="136" spans="1:1">
      <c r="A136" s="154" t="str">
        <f t="shared" si="3"/>
        <v/>
      </c>
    </row>
    <row r="137" spans="1:1">
      <c r="A137" s="154" t="str">
        <f t="shared" si="3"/>
        <v/>
      </c>
    </row>
    <row r="138" spans="1:1">
      <c r="A138" s="154" t="str">
        <f t="shared" si="3"/>
        <v/>
      </c>
    </row>
    <row r="139" spans="1:1">
      <c r="A139" s="154" t="str">
        <f t="shared" si="3"/>
        <v/>
      </c>
    </row>
    <row r="140" spans="1:1">
      <c r="A140" s="154" t="str">
        <f t="shared" si="3"/>
        <v/>
      </c>
    </row>
    <row r="141" spans="1:1">
      <c r="A141" s="154" t="str">
        <f t="shared" si="3"/>
        <v/>
      </c>
    </row>
    <row r="142" spans="1:1">
      <c r="A142" s="154" t="str">
        <f t="shared" si="3"/>
        <v/>
      </c>
    </row>
    <row r="143" spans="1:1">
      <c r="A143" s="154" t="str">
        <f t="shared" si="3"/>
        <v/>
      </c>
    </row>
    <row r="144" spans="1:1">
      <c r="A144" s="154" t="str">
        <f t="shared" si="3"/>
        <v/>
      </c>
    </row>
    <row r="145" spans="1:1">
      <c r="A145" s="154" t="str">
        <f t="shared" si="3"/>
        <v/>
      </c>
    </row>
    <row r="146" spans="1:1">
      <c r="A146" s="154" t="str">
        <f t="shared" si="3"/>
        <v/>
      </c>
    </row>
    <row r="147" spans="1:1">
      <c r="A147" s="154" t="str">
        <f t="shared" si="3"/>
        <v/>
      </c>
    </row>
    <row r="148" spans="1:1">
      <c r="A148" s="154" t="str">
        <f t="shared" si="3"/>
        <v/>
      </c>
    </row>
    <row r="149" spans="1:1">
      <c r="A149" s="154" t="str">
        <f t="shared" si="3"/>
        <v/>
      </c>
    </row>
    <row r="150" spans="1:1">
      <c r="A150" s="154" t="str">
        <f t="shared" si="3"/>
        <v/>
      </c>
    </row>
    <row r="151" spans="1:1">
      <c r="A151" s="154" t="str">
        <f t="shared" si="3"/>
        <v/>
      </c>
    </row>
    <row r="152" spans="1:1">
      <c r="A152" s="154" t="str">
        <f t="shared" si="3"/>
        <v/>
      </c>
    </row>
    <row r="153" spans="1:1">
      <c r="A153" s="154" t="str">
        <f t="shared" si="3"/>
        <v/>
      </c>
    </row>
    <row r="154" spans="1:1">
      <c r="A154" s="154" t="str">
        <f t="shared" si="3"/>
        <v/>
      </c>
    </row>
    <row r="155" spans="1:1">
      <c r="A155" s="154" t="str">
        <f t="shared" si="3"/>
        <v/>
      </c>
    </row>
    <row r="156" spans="1:1">
      <c r="A156" s="154" t="str">
        <f t="shared" si="3"/>
        <v/>
      </c>
    </row>
    <row r="157" spans="1:1">
      <c r="A157" s="154" t="str">
        <f t="shared" si="3"/>
        <v/>
      </c>
    </row>
    <row r="158" spans="1:1">
      <c r="A158" s="154" t="str">
        <f t="shared" si="3"/>
        <v/>
      </c>
    </row>
    <row r="159" spans="1:1">
      <c r="A159" s="154" t="str">
        <f t="shared" si="3"/>
        <v/>
      </c>
    </row>
    <row r="160" spans="1:1">
      <c r="A160" s="154" t="str">
        <f t="shared" si="3"/>
        <v/>
      </c>
    </row>
    <row r="161" spans="1:1">
      <c r="A161" s="154" t="str">
        <f t="shared" si="3"/>
        <v/>
      </c>
    </row>
    <row r="162" spans="1:1">
      <c r="A162" s="154" t="str">
        <f t="shared" si="3"/>
        <v/>
      </c>
    </row>
    <row r="163" spans="1:1">
      <c r="A163" s="154" t="str">
        <f t="shared" si="3"/>
        <v/>
      </c>
    </row>
    <row r="164" spans="1:1">
      <c r="A164" s="154" t="str">
        <f t="shared" si="3"/>
        <v/>
      </c>
    </row>
    <row r="165" spans="1:1">
      <c r="A165" s="154" t="str">
        <f t="shared" si="3"/>
        <v/>
      </c>
    </row>
    <row r="166" spans="1:1">
      <c r="A166" s="154" t="str">
        <f t="shared" si="3"/>
        <v/>
      </c>
    </row>
    <row r="167" spans="1:1">
      <c r="A167" s="154" t="str">
        <f t="shared" si="3"/>
        <v/>
      </c>
    </row>
    <row r="168" spans="1:1">
      <c r="A168" s="154" t="str">
        <f t="shared" si="3"/>
        <v/>
      </c>
    </row>
    <row r="169" spans="1:1">
      <c r="A169" s="154" t="str">
        <f t="shared" si="3"/>
        <v/>
      </c>
    </row>
    <row r="170" spans="1:1">
      <c r="A170" s="154" t="str">
        <f t="shared" si="3"/>
        <v/>
      </c>
    </row>
    <row r="171" spans="1:1">
      <c r="A171" s="154" t="str">
        <f t="shared" si="3"/>
        <v/>
      </c>
    </row>
    <row r="172" spans="1:1">
      <c r="A172" s="154" t="str">
        <f t="shared" si="3"/>
        <v/>
      </c>
    </row>
    <row r="173" spans="1:1">
      <c r="A173" s="154" t="str">
        <f t="shared" si="3"/>
        <v/>
      </c>
    </row>
    <row r="174" spans="1:1">
      <c r="A174" s="154" t="str">
        <f t="shared" si="3"/>
        <v/>
      </c>
    </row>
    <row r="175" spans="1:1">
      <c r="A175" s="154" t="str">
        <f t="shared" si="3"/>
        <v/>
      </c>
    </row>
    <row r="176" spans="1:1">
      <c r="A176" s="154" t="str">
        <f t="shared" si="3"/>
        <v/>
      </c>
    </row>
    <row r="177" spans="1:1">
      <c r="A177" s="154" t="str">
        <f t="shared" si="3"/>
        <v/>
      </c>
    </row>
    <row r="178" spans="1:1">
      <c r="A178" s="154" t="str">
        <f t="shared" si="3"/>
        <v/>
      </c>
    </row>
    <row r="179" spans="1:1">
      <c r="A179" s="154" t="str">
        <f t="shared" si="3"/>
        <v/>
      </c>
    </row>
    <row r="180" spans="1:1">
      <c r="A180" s="154" t="str">
        <f t="shared" si="3"/>
        <v/>
      </c>
    </row>
    <row r="181" spans="1:1">
      <c r="A181" s="154" t="str">
        <f t="shared" si="3"/>
        <v/>
      </c>
    </row>
    <row r="182" spans="1:1">
      <c r="A182" s="154" t="str">
        <f t="shared" si="3"/>
        <v/>
      </c>
    </row>
    <row r="183" spans="1:1">
      <c r="A183" s="154" t="str">
        <f t="shared" si="3"/>
        <v/>
      </c>
    </row>
    <row r="184" spans="1:1">
      <c r="A184" s="154" t="str">
        <f t="shared" si="3"/>
        <v/>
      </c>
    </row>
    <row r="185" spans="1:1">
      <c r="A185" s="154" t="str">
        <f t="shared" si="3"/>
        <v/>
      </c>
    </row>
    <row r="186" spans="1:1">
      <c r="A186" s="154" t="str">
        <f t="shared" si="3"/>
        <v/>
      </c>
    </row>
    <row r="187" spans="1:1">
      <c r="A187" s="154" t="str">
        <f t="shared" si="3"/>
        <v/>
      </c>
    </row>
    <row r="188" spans="1:1">
      <c r="A188" s="154" t="str">
        <f t="shared" si="3"/>
        <v/>
      </c>
    </row>
    <row r="189" spans="1:1">
      <c r="A189" s="154" t="str">
        <f t="shared" si="3"/>
        <v/>
      </c>
    </row>
    <row r="190" spans="1:1">
      <c r="A190" s="154" t="str">
        <f t="shared" si="3"/>
        <v/>
      </c>
    </row>
    <row r="191" spans="1:1">
      <c r="A191" s="154" t="str">
        <f t="shared" si="3"/>
        <v/>
      </c>
    </row>
    <row r="192" spans="1:1">
      <c r="A192" s="154" t="str">
        <f t="shared" si="3"/>
        <v/>
      </c>
    </row>
    <row r="193" spans="1:1">
      <c r="A193" s="154" t="str">
        <f t="shared" si="3"/>
        <v/>
      </c>
    </row>
    <row r="194" spans="1:1">
      <c r="A194" s="154" t="str">
        <f t="shared" si="3"/>
        <v/>
      </c>
    </row>
    <row r="195" spans="1:1">
      <c r="A195" s="154" t="str">
        <f t="shared" ref="A195:A258" si="4">LEFT(B195,4)</f>
        <v/>
      </c>
    </row>
    <row r="196" spans="1:1">
      <c r="A196" s="154" t="str">
        <f t="shared" si="4"/>
        <v/>
      </c>
    </row>
    <row r="197" spans="1:1">
      <c r="A197" s="154" t="str">
        <f t="shared" si="4"/>
        <v/>
      </c>
    </row>
    <row r="198" spans="1:1">
      <c r="A198" s="154" t="str">
        <f t="shared" si="4"/>
        <v/>
      </c>
    </row>
    <row r="199" spans="1:1">
      <c r="A199" s="154" t="str">
        <f t="shared" si="4"/>
        <v/>
      </c>
    </row>
    <row r="200" spans="1:1">
      <c r="A200" s="154" t="str">
        <f t="shared" si="4"/>
        <v/>
      </c>
    </row>
    <row r="201" spans="1:1">
      <c r="A201" s="154" t="str">
        <f t="shared" si="4"/>
        <v/>
      </c>
    </row>
    <row r="202" spans="1:1">
      <c r="A202" s="154" t="str">
        <f t="shared" si="4"/>
        <v/>
      </c>
    </row>
    <row r="203" spans="1:1">
      <c r="A203" s="154" t="str">
        <f t="shared" si="4"/>
        <v/>
      </c>
    </row>
    <row r="204" spans="1:1">
      <c r="A204" s="154" t="str">
        <f t="shared" si="4"/>
        <v/>
      </c>
    </row>
    <row r="205" spans="1:1">
      <c r="A205" s="154" t="str">
        <f t="shared" si="4"/>
        <v/>
      </c>
    </row>
    <row r="206" spans="1:1">
      <c r="A206" s="154" t="str">
        <f t="shared" si="4"/>
        <v/>
      </c>
    </row>
    <row r="207" spans="1:1">
      <c r="A207" s="154" t="str">
        <f t="shared" si="4"/>
        <v/>
      </c>
    </row>
    <row r="208" spans="1:1">
      <c r="A208" s="154" t="str">
        <f t="shared" si="4"/>
        <v/>
      </c>
    </row>
    <row r="209" spans="1:1">
      <c r="A209" s="154" t="str">
        <f t="shared" si="4"/>
        <v/>
      </c>
    </row>
    <row r="210" spans="1:1">
      <c r="A210" s="154" t="str">
        <f t="shared" si="4"/>
        <v/>
      </c>
    </row>
    <row r="211" spans="1:1">
      <c r="A211" s="154" t="str">
        <f t="shared" si="4"/>
        <v/>
      </c>
    </row>
    <row r="212" spans="1:1">
      <c r="A212" s="154" t="str">
        <f t="shared" si="4"/>
        <v/>
      </c>
    </row>
    <row r="213" spans="1:1">
      <c r="A213" s="154" t="str">
        <f t="shared" si="4"/>
        <v/>
      </c>
    </row>
    <row r="214" spans="1:1">
      <c r="A214" s="154" t="str">
        <f t="shared" si="4"/>
        <v/>
      </c>
    </row>
    <row r="215" spans="1:1">
      <c r="A215" s="154" t="str">
        <f t="shared" si="4"/>
        <v/>
      </c>
    </row>
    <row r="216" spans="1:1">
      <c r="A216" s="154" t="str">
        <f t="shared" si="4"/>
        <v/>
      </c>
    </row>
    <row r="217" spans="1:1">
      <c r="A217" s="154" t="str">
        <f t="shared" si="4"/>
        <v/>
      </c>
    </row>
    <row r="218" spans="1:1">
      <c r="A218" s="154" t="str">
        <f t="shared" si="4"/>
        <v/>
      </c>
    </row>
    <row r="219" spans="1:1">
      <c r="A219" s="154" t="str">
        <f t="shared" si="4"/>
        <v/>
      </c>
    </row>
    <row r="220" spans="1:1">
      <c r="A220" s="154" t="str">
        <f t="shared" si="4"/>
        <v/>
      </c>
    </row>
    <row r="221" spans="1:1">
      <c r="A221" s="154" t="str">
        <f t="shared" si="4"/>
        <v/>
      </c>
    </row>
    <row r="222" spans="1:1">
      <c r="A222" s="154" t="str">
        <f t="shared" si="4"/>
        <v/>
      </c>
    </row>
    <row r="223" spans="1:1">
      <c r="A223" s="154" t="str">
        <f t="shared" si="4"/>
        <v/>
      </c>
    </row>
    <row r="224" spans="1:1">
      <c r="A224" s="154" t="str">
        <f t="shared" si="4"/>
        <v/>
      </c>
    </row>
    <row r="225" spans="1:1">
      <c r="A225" s="154" t="str">
        <f t="shared" si="4"/>
        <v/>
      </c>
    </row>
    <row r="226" spans="1:1">
      <c r="A226" s="154" t="str">
        <f t="shared" si="4"/>
        <v/>
      </c>
    </row>
    <row r="227" spans="1:1">
      <c r="A227" s="154" t="str">
        <f t="shared" si="4"/>
        <v/>
      </c>
    </row>
    <row r="228" spans="1:1">
      <c r="A228" s="154" t="str">
        <f t="shared" si="4"/>
        <v/>
      </c>
    </row>
    <row r="229" spans="1:1">
      <c r="A229" s="154" t="str">
        <f t="shared" si="4"/>
        <v/>
      </c>
    </row>
    <row r="230" spans="1:1">
      <c r="A230" s="154" t="str">
        <f t="shared" si="4"/>
        <v/>
      </c>
    </row>
    <row r="231" spans="1:1">
      <c r="A231" s="154" t="str">
        <f t="shared" si="4"/>
        <v/>
      </c>
    </row>
    <row r="232" spans="1:1">
      <c r="A232" s="154" t="str">
        <f t="shared" si="4"/>
        <v/>
      </c>
    </row>
    <row r="233" spans="1:1">
      <c r="A233" s="154" t="str">
        <f t="shared" si="4"/>
        <v/>
      </c>
    </row>
    <row r="234" spans="1:1">
      <c r="A234" s="154" t="str">
        <f t="shared" si="4"/>
        <v/>
      </c>
    </row>
    <row r="235" spans="1:1">
      <c r="A235" s="154" t="str">
        <f t="shared" si="4"/>
        <v/>
      </c>
    </row>
    <row r="236" spans="1:1">
      <c r="A236" s="154" t="str">
        <f t="shared" si="4"/>
        <v/>
      </c>
    </row>
    <row r="237" spans="1:1">
      <c r="A237" s="154" t="str">
        <f t="shared" si="4"/>
        <v/>
      </c>
    </row>
    <row r="238" spans="1:1">
      <c r="A238" s="154" t="str">
        <f t="shared" si="4"/>
        <v/>
      </c>
    </row>
    <row r="239" spans="1:1">
      <c r="A239" s="154" t="str">
        <f t="shared" si="4"/>
        <v/>
      </c>
    </row>
    <row r="240" spans="1:1">
      <c r="A240" s="154" t="str">
        <f t="shared" si="4"/>
        <v/>
      </c>
    </row>
    <row r="241" spans="1:1">
      <c r="A241" s="154" t="str">
        <f t="shared" si="4"/>
        <v/>
      </c>
    </row>
    <row r="242" spans="1:1">
      <c r="A242" s="154" t="str">
        <f t="shared" si="4"/>
        <v/>
      </c>
    </row>
    <row r="243" spans="1:1">
      <c r="A243" s="154" t="str">
        <f t="shared" si="4"/>
        <v/>
      </c>
    </row>
    <row r="244" spans="1:1">
      <c r="A244" s="154" t="str">
        <f t="shared" si="4"/>
        <v/>
      </c>
    </row>
    <row r="245" spans="1:1">
      <c r="A245" s="154" t="str">
        <f t="shared" si="4"/>
        <v/>
      </c>
    </row>
    <row r="246" spans="1:1">
      <c r="A246" s="154" t="str">
        <f t="shared" si="4"/>
        <v/>
      </c>
    </row>
    <row r="247" spans="1:1">
      <c r="A247" s="154" t="str">
        <f t="shared" si="4"/>
        <v/>
      </c>
    </row>
    <row r="248" spans="1:1">
      <c r="A248" s="154" t="str">
        <f t="shared" si="4"/>
        <v/>
      </c>
    </row>
    <row r="249" spans="1:1">
      <c r="A249" s="154" t="str">
        <f t="shared" si="4"/>
        <v/>
      </c>
    </row>
    <row r="250" spans="1:1">
      <c r="A250" s="154" t="str">
        <f t="shared" si="4"/>
        <v/>
      </c>
    </row>
    <row r="251" spans="1:1">
      <c r="A251" s="154" t="str">
        <f t="shared" si="4"/>
        <v/>
      </c>
    </row>
    <row r="252" spans="1:1">
      <c r="A252" s="154" t="str">
        <f t="shared" si="4"/>
        <v/>
      </c>
    </row>
    <row r="253" spans="1:1">
      <c r="A253" s="154" t="str">
        <f t="shared" si="4"/>
        <v/>
      </c>
    </row>
    <row r="254" spans="1:1">
      <c r="A254" s="154" t="str">
        <f t="shared" si="4"/>
        <v/>
      </c>
    </row>
    <row r="255" spans="1:1">
      <c r="A255" s="154" t="str">
        <f t="shared" si="4"/>
        <v/>
      </c>
    </row>
    <row r="256" spans="1:1">
      <c r="A256" s="154" t="str">
        <f t="shared" si="4"/>
        <v/>
      </c>
    </row>
    <row r="257" spans="1:1">
      <c r="A257" s="154" t="str">
        <f t="shared" si="4"/>
        <v/>
      </c>
    </row>
    <row r="258" spans="1:1">
      <c r="A258" s="154" t="str">
        <f t="shared" si="4"/>
        <v/>
      </c>
    </row>
    <row r="259" spans="1:1">
      <c r="A259" s="154" t="str">
        <f t="shared" ref="A259:A287" si="5">LEFT(B259,4)</f>
        <v/>
      </c>
    </row>
    <row r="260" spans="1:1">
      <c r="A260" s="154" t="str">
        <f t="shared" si="5"/>
        <v/>
      </c>
    </row>
    <row r="261" spans="1:1">
      <c r="A261" s="154" t="str">
        <f t="shared" si="5"/>
        <v/>
      </c>
    </row>
    <row r="262" spans="1:1">
      <c r="A262" s="154" t="str">
        <f t="shared" si="5"/>
        <v/>
      </c>
    </row>
    <row r="263" spans="1:1">
      <c r="A263" s="154" t="str">
        <f t="shared" si="5"/>
        <v/>
      </c>
    </row>
    <row r="264" spans="1:1">
      <c r="A264" s="154" t="str">
        <f t="shared" si="5"/>
        <v/>
      </c>
    </row>
    <row r="265" spans="1:1">
      <c r="A265" s="154" t="str">
        <f t="shared" si="5"/>
        <v/>
      </c>
    </row>
    <row r="266" spans="1:1">
      <c r="A266" s="154" t="str">
        <f t="shared" si="5"/>
        <v/>
      </c>
    </row>
    <row r="267" spans="1:1">
      <c r="A267" s="154" t="str">
        <f t="shared" si="5"/>
        <v/>
      </c>
    </row>
    <row r="268" spans="1:1">
      <c r="A268" s="154" t="str">
        <f t="shared" si="5"/>
        <v/>
      </c>
    </row>
    <row r="269" spans="1:1">
      <c r="A269" s="154" t="str">
        <f t="shared" si="5"/>
        <v/>
      </c>
    </row>
    <row r="270" spans="1:1">
      <c r="A270" s="154" t="str">
        <f t="shared" si="5"/>
        <v/>
      </c>
    </row>
    <row r="271" spans="1:1">
      <c r="A271" s="154" t="str">
        <f t="shared" si="5"/>
        <v/>
      </c>
    </row>
    <row r="272" spans="1:1">
      <c r="A272" s="154" t="str">
        <f t="shared" si="5"/>
        <v/>
      </c>
    </row>
    <row r="273" spans="1:1">
      <c r="A273" s="154" t="str">
        <f t="shared" si="5"/>
        <v/>
      </c>
    </row>
    <row r="274" spans="1:1">
      <c r="A274" s="154" t="str">
        <f t="shared" si="5"/>
        <v/>
      </c>
    </row>
    <row r="275" spans="1:1">
      <c r="A275" s="154" t="str">
        <f t="shared" si="5"/>
        <v/>
      </c>
    </row>
    <row r="276" spans="1:1">
      <c r="A276" s="154" t="str">
        <f t="shared" si="5"/>
        <v/>
      </c>
    </row>
    <row r="277" spans="1:1">
      <c r="A277" s="154" t="str">
        <f t="shared" si="5"/>
        <v/>
      </c>
    </row>
    <row r="278" spans="1:1">
      <c r="A278" s="154" t="str">
        <f t="shared" si="5"/>
        <v/>
      </c>
    </row>
    <row r="279" spans="1:1">
      <c r="A279" s="154" t="str">
        <f t="shared" si="5"/>
        <v/>
      </c>
    </row>
    <row r="280" spans="1:1">
      <c r="A280" s="154" t="str">
        <f t="shared" si="5"/>
        <v/>
      </c>
    </row>
    <row r="281" spans="1:1">
      <c r="A281" s="154" t="str">
        <f t="shared" si="5"/>
        <v/>
      </c>
    </row>
    <row r="282" spans="1:1">
      <c r="A282" s="154" t="str">
        <f t="shared" si="5"/>
        <v/>
      </c>
    </row>
    <row r="283" spans="1:1">
      <c r="A283" s="154" t="str">
        <f t="shared" si="5"/>
        <v/>
      </c>
    </row>
    <row r="284" spans="1:1">
      <c r="A284" s="154" t="str">
        <f t="shared" si="5"/>
        <v/>
      </c>
    </row>
    <row r="285" spans="1:1">
      <c r="A285" s="154" t="str">
        <f t="shared" si="5"/>
        <v/>
      </c>
    </row>
    <row r="286" spans="1:1">
      <c r="A286" s="154" t="str">
        <f t="shared" si="5"/>
        <v/>
      </c>
    </row>
    <row r="287" spans="1:1">
      <c r="A287" s="154" t="str">
        <f t="shared" si="5"/>
        <v/>
      </c>
    </row>
  </sheetData>
  <sheetProtection algorithmName="SHA-512" hashValue="VGHZP8YbWNpBjAq4HTmWP6r0JmxA3RDvZVlne84RROj3n4YYNwg1e9Nm4C3HCvZcGzKT9MTiFVLtqAgosMbeWA==" saltValue="D3G+ED4k2nsTzAW6xlXxlQ==" spinCount="100000" sheet="1" objects="1" scenarios="1"/>
  <autoFilter ref="C2:X32" xr:uid="{00000000-0009-0000-0000-000002000000}"/>
  <mergeCells count="1">
    <mergeCell ref="S1:X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0"/>
  </sheetPr>
  <dimension ref="A1:A44"/>
  <sheetViews>
    <sheetView zoomScale="90" zoomScaleNormal="90" workbookViewId="0" xr3:uid="{51F8DEE0-4D01-5F28-A812-FC0BD7CAC4A5}">
      <selection activeCell="C5" sqref="C5"/>
    </sheetView>
  </sheetViews>
  <sheetFormatPr defaultRowHeight="12.75"/>
  <cols>
    <col min="1" max="1" width="89.28515625" customWidth="1"/>
  </cols>
  <sheetData>
    <row r="1" spans="1:1" ht="18.75">
      <c r="A1" s="195" t="s">
        <v>214</v>
      </c>
    </row>
    <row r="2" spans="1:1" ht="18.75">
      <c r="A2" s="196"/>
    </row>
    <row r="3" spans="1:1" ht="18.75">
      <c r="A3" s="195" t="s">
        <v>215</v>
      </c>
    </row>
    <row r="4" spans="1:1" ht="37.5">
      <c r="A4" s="199" t="s">
        <v>216</v>
      </c>
    </row>
    <row r="5" spans="1:1" ht="18.75">
      <c r="A5" s="197"/>
    </row>
    <row r="6" spans="1:1" ht="18.75">
      <c r="A6" s="195" t="s">
        <v>217</v>
      </c>
    </row>
    <row r="7" spans="1:1" ht="57" customHeight="1">
      <c r="A7" s="199" t="s">
        <v>218</v>
      </c>
    </row>
    <row r="8" spans="1:1" ht="18.75">
      <c r="A8" s="197"/>
    </row>
    <row r="9" spans="1:1" ht="18.75">
      <c r="A9" s="195" t="s">
        <v>219</v>
      </c>
    </row>
    <row r="10" spans="1:1" ht="18.75">
      <c r="A10" s="197" t="s">
        <v>220</v>
      </c>
    </row>
    <row r="11" spans="1:1" ht="18.75">
      <c r="A11" s="197"/>
    </row>
    <row r="12" spans="1:1" ht="18.75">
      <c r="A12" s="195" t="s">
        <v>221</v>
      </c>
    </row>
    <row r="13" spans="1:1" ht="18.75">
      <c r="A13" s="197" t="s">
        <v>220</v>
      </c>
    </row>
    <row r="14" spans="1:1" ht="18.75">
      <c r="A14" s="197"/>
    </row>
    <row r="15" spans="1:1" ht="18.75">
      <c r="A15" s="195" t="s">
        <v>222</v>
      </c>
    </row>
    <row r="16" spans="1:1" ht="18.75">
      <c r="A16" s="197" t="s">
        <v>223</v>
      </c>
    </row>
    <row r="17" spans="1:1" ht="18.75">
      <c r="A17" s="197" t="s">
        <v>224</v>
      </c>
    </row>
    <row r="18" spans="1:1" ht="18.75">
      <c r="A18" s="197"/>
    </row>
    <row r="19" spans="1:1" ht="56.25">
      <c r="A19" s="198" t="s">
        <v>225</v>
      </c>
    </row>
    <row r="20" spans="1:1" ht="18.75">
      <c r="A20" s="197"/>
    </row>
    <row r="21" spans="1:1" ht="56.25">
      <c r="A21" s="203" t="s">
        <v>226</v>
      </c>
    </row>
    <row r="22" spans="1:1" ht="18.75">
      <c r="A22" s="196"/>
    </row>
    <row r="23" spans="1:1" ht="18.75">
      <c r="A23" s="195" t="s">
        <v>227</v>
      </c>
    </row>
    <row r="24" spans="1:1" ht="18.75">
      <c r="A24" s="197" t="s">
        <v>228</v>
      </c>
    </row>
    <row r="25" spans="1:1" ht="18.75">
      <c r="A25" s="197" t="s">
        <v>229</v>
      </c>
    </row>
    <row r="26" spans="1:1" ht="18.75">
      <c r="A26" s="196"/>
    </row>
    <row r="27" spans="1:1" ht="18.75">
      <c r="A27" s="195" t="s">
        <v>230</v>
      </c>
    </row>
    <row r="28" spans="1:1" ht="93.75">
      <c r="A28" s="199" t="s">
        <v>231</v>
      </c>
    </row>
    <row r="29" spans="1:1" ht="19.5" thickBot="1">
      <c r="A29" s="197"/>
    </row>
    <row r="30" spans="1:1" ht="19.5" thickTop="1">
      <c r="A30" s="200" t="s">
        <v>232</v>
      </c>
    </row>
    <row r="31" spans="1:1" ht="18.75">
      <c r="A31" s="201" t="s">
        <v>233</v>
      </c>
    </row>
    <row r="32" spans="1:1" ht="18.75">
      <c r="A32" s="201" t="s">
        <v>234</v>
      </c>
    </row>
    <row r="33" spans="1:1" ht="37.5">
      <c r="A33" s="201" t="s">
        <v>235</v>
      </c>
    </row>
    <row r="34" spans="1:1" ht="18.75">
      <c r="A34" s="201" t="s">
        <v>236</v>
      </c>
    </row>
    <row r="35" spans="1:1" ht="38.25" thickBot="1">
      <c r="A35" s="202" t="s">
        <v>237</v>
      </c>
    </row>
    <row r="36" spans="1:1" ht="19.5" thickTop="1">
      <c r="A36" s="197"/>
    </row>
    <row r="37" spans="1:1" ht="18.75">
      <c r="A37" s="195" t="s">
        <v>238</v>
      </c>
    </row>
    <row r="38" spans="1:1" ht="37.5">
      <c r="A38" s="199" t="s">
        <v>239</v>
      </c>
    </row>
    <row r="39" spans="1:1" ht="18.75">
      <c r="A39" s="197"/>
    </row>
    <row r="40" spans="1:1" ht="18.75">
      <c r="A40" s="195" t="s">
        <v>240</v>
      </c>
    </row>
    <row r="41" spans="1:1" ht="18.75">
      <c r="A41" s="197" t="s">
        <v>241</v>
      </c>
    </row>
    <row r="42" spans="1:1" ht="18.75">
      <c r="A42" s="196"/>
    </row>
    <row r="43" spans="1:1" ht="18.75">
      <c r="A43" s="195" t="s">
        <v>242</v>
      </c>
    </row>
    <row r="44" spans="1:1" ht="18.75">
      <c r="A44" s="197" t="s">
        <v>243</v>
      </c>
    </row>
  </sheetData>
  <sheetProtection algorithmName="SHA-512" hashValue="/77fgO9+OAz1+3QkZJX3Szfw8H/Osx/ruW5HTkEJqgfioJZFkapkClPlsuoT38BWPq9HlydcVELGonvJGSahSQ==" saltValue="tVdARWGnGwdDb/wafHehcw==" spinCount="100000"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21">
    <tabColor theme="0"/>
    <pageSetUpPr autoPageBreaks="0" fitToPage="1"/>
  </sheetPr>
  <dimension ref="A1:AT135"/>
  <sheetViews>
    <sheetView tabSelected="1" topLeftCell="A6" zoomScale="90" zoomScaleNormal="90" workbookViewId="0" xr3:uid="{F9CF3CF3-643B-5BE6-8B46-32C596A47465}">
      <selection activeCell="J13" sqref="J13:K13"/>
    </sheetView>
  </sheetViews>
  <sheetFormatPr defaultColWidth="9.140625" defaultRowHeight="12.75"/>
  <cols>
    <col min="1" max="3" width="2.85546875" customWidth="1"/>
    <col min="4" max="4" width="4.5703125" customWidth="1"/>
    <col min="5" max="7" width="2.140625" customWidth="1"/>
    <col min="8" max="8" width="0.140625" customWidth="1"/>
    <col min="9" max="13" width="2.140625" customWidth="1"/>
    <col min="14" max="14" width="6.42578125" customWidth="1"/>
    <col min="15" max="15" width="2.7109375" customWidth="1"/>
    <col min="16" max="20" width="2.140625" customWidth="1"/>
    <col min="21" max="21" width="6.85546875" customWidth="1"/>
    <col min="22" max="22" width="5.42578125" customWidth="1"/>
    <col min="23" max="23" width="2.85546875" customWidth="1"/>
    <col min="24" max="24" width="6" customWidth="1"/>
    <col min="25" max="25" width="3.42578125" customWidth="1"/>
    <col min="26" max="26" width="3.5703125" customWidth="1"/>
    <col min="27" max="27" width="6.28515625" customWidth="1"/>
    <col min="28" max="28" width="16.42578125" style="132" customWidth="1"/>
    <col min="29" max="29" width="4.7109375" hidden="1" customWidth="1"/>
    <col min="30" max="30" width="15.7109375" hidden="1" customWidth="1"/>
    <col min="31" max="36" width="4.7109375" hidden="1" customWidth="1"/>
    <col min="37" max="37" width="20.7109375" customWidth="1"/>
    <col min="38" max="38" width="6.5703125" customWidth="1"/>
    <col min="39" max="41" width="20.7109375" customWidth="1"/>
    <col min="42" max="42" width="20.7109375" style="89" customWidth="1"/>
    <col min="43" max="44" width="9.140625" style="89"/>
    <col min="45" max="45" width="8.5703125" style="89" customWidth="1"/>
    <col min="46" max="46" width="9.140625" style="89"/>
  </cols>
  <sheetData>
    <row r="1" spans="1:41" ht="32.25" customHeight="1" thickBot="1">
      <c r="A1" s="442" t="s">
        <v>244</v>
      </c>
      <c r="B1" s="443"/>
      <c r="C1" s="443"/>
      <c r="D1" s="443"/>
      <c r="E1" s="443"/>
      <c r="F1" s="443"/>
      <c r="G1" s="443"/>
      <c r="H1" s="443"/>
      <c r="I1" s="443"/>
      <c r="J1" s="443"/>
      <c r="K1" s="443"/>
      <c r="L1" s="443"/>
      <c r="M1" s="443"/>
      <c r="N1" s="444"/>
      <c r="O1" s="444"/>
      <c r="P1" s="444"/>
      <c r="Q1" s="444"/>
      <c r="R1" s="444"/>
      <c r="S1" s="444"/>
      <c r="T1" s="444"/>
      <c r="U1" s="445"/>
      <c r="V1" s="445"/>
      <c r="W1" s="445"/>
      <c r="X1" s="354">
        <v>44562</v>
      </c>
      <c r="Y1" s="355"/>
      <c r="Z1" s="355"/>
      <c r="AA1" s="446" t="s">
        <v>245</v>
      </c>
      <c r="AB1" s="446"/>
      <c r="AC1" s="91"/>
      <c r="AD1" s="56"/>
      <c r="AE1" s="56"/>
      <c r="AF1" s="56"/>
      <c r="AG1" s="56"/>
      <c r="AH1" s="57"/>
      <c r="AI1" s="56"/>
      <c r="AJ1" s="56"/>
      <c r="AK1" s="317"/>
      <c r="AL1" s="317"/>
      <c r="AM1" s="317"/>
      <c r="AN1" s="56"/>
      <c r="AO1" s="89"/>
    </row>
    <row r="2" spans="1:41" ht="43.5" customHeight="1" thickTop="1" thickBot="1">
      <c r="A2" s="225"/>
      <c r="B2" s="226"/>
      <c r="C2" s="226"/>
      <c r="D2" s="226"/>
      <c r="E2" s="226"/>
      <c r="F2" s="226"/>
      <c r="G2" s="226"/>
      <c r="H2" s="226"/>
      <c r="I2" s="226"/>
      <c r="J2" s="226"/>
      <c r="K2" s="226"/>
      <c r="L2" s="226"/>
      <c r="M2" s="226"/>
      <c r="N2" s="227"/>
      <c r="O2" s="227"/>
      <c r="P2" s="227"/>
      <c r="Q2" s="227"/>
      <c r="R2" s="227"/>
      <c r="S2" s="227"/>
      <c r="T2" s="227"/>
      <c r="U2" s="50"/>
      <c r="V2" s="50"/>
      <c r="W2" s="50"/>
      <c r="X2" s="75"/>
      <c r="Y2" s="75"/>
      <c r="Z2" s="75"/>
      <c r="AA2" s="228"/>
      <c r="AB2" s="228"/>
      <c r="AC2" s="229"/>
      <c r="AD2" s="56"/>
      <c r="AE2" s="56"/>
      <c r="AF2" s="56"/>
      <c r="AG2" s="56"/>
      <c r="AH2" s="57"/>
      <c r="AI2" s="56"/>
      <c r="AJ2" s="56"/>
      <c r="AK2" s="345" t="s">
        <v>246</v>
      </c>
      <c r="AL2" s="345"/>
      <c r="AM2" s="345"/>
      <c r="AN2" s="345"/>
      <c r="AO2" s="89"/>
    </row>
    <row r="3" spans="1:41" ht="18.75" customHeight="1" thickTop="1" thickBot="1">
      <c r="A3" s="447" t="s">
        <v>247</v>
      </c>
      <c r="B3" s="448"/>
      <c r="C3" s="448"/>
      <c r="D3" s="448"/>
      <c r="E3" s="346"/>
      <c r="F3" s="449"/>
      <c r="G3" s="449"/>
      <c r="H3" s="449"/>
      <c r="I3" s="449"/>
      <c r="J3" s="449"/>
      <c r="K3" s="449"/>
      <c r="L3" s="449"/>
      <c r="M3" s="449"/>
      <c r="N3" s="449"/>
      <c r="O3" s="449"/>
      <c r="P3" s="449"/>
      <c r="Q3" s="449"/>
      <c r="R3" s="449"/>
      <c r="S3" s="449"/>
      <c r="T3" s="449"/>
      <c r="U3" s="449"/>
      <c r="V3" s="449"/>
      <c r="W3" s="450"/>
      <c r="X3" s="451" t="s">
        <v>248</v>
      </c>
      <c r="Y3" s="452"/>
      <c r="Z3" s="452"/>
      <c r="AA3" s="452"/>
      <c r="AB3" s="452"/>
      <c r="AC3" s="453"/>
      <c r="AD3" s="58" t="s">
        <v>249</v>
      </c>
      <c r="AE3" s="58"/>
      <c r="AF3" s="58"/>
      <c r="AG3" s="56"/>
      <c r="AH3" s="59" t="s">
        <v>250</v>
      </c>
      <c r="AI3" s="82" t="s">
        <v>251</v>
      </c>
      <c r="AJ3" s="56"/>
      <c r="AK3" s="81" t="s">
        <v>252</v>
      </c>
      <c r="AL3" s="56"/>
      <c r="AM3" s="56"/>
      <c r="AN3" s="56"/>
      <c r="AO3" s="56"/>
    </row>
    <row r="4" spans="1:41" ht="11.25" customHeight="1">
      <c r="A4" s="454" t="s">
        <v>253</v>
      </c>
      <c r="B4" s="454"/>
      <c r="C4" s="454"/>
      <c r="D4" s="454"/>
      <c r="E4" s="352"/>
      <c r="F4" s="455"/>
      <c r="G4" s="455"/>
      <c r="H4" s="455"/>
      <c r="I4" s="455"/>
      <c r="J4" s="455"/>
      <c r="K4" s="455"/>
      <c r="L4" s="455"/>
      <c r="M4" s="455"/>
      <c r="N4" s="455"/>
      <c r="O4" s="455"/>
      <c r="P4" s="455"/>
      <c r="Q4" s="455"/>
      <c r="R4" s="455"/>
      <c r="S4" s="455"/>
      <c r="T4" s="455"/>
      <c r="U4" s="456"/>
      <c r="V4" s="456"/>
      <c r="W4" s="457"/>
      <c r="X4" s="353"/>
      <c r="Y4" s="353"/>
      <c r="Z4" s="353"/>
      <c r="AA4" s="353"/>
      <c r="AB4" s="353"/>
      <c r="AC4" s="353"/>
      <c r="AD4" s="58" t="s">
        <v>254</v>
      </c>
      <c r="AE4" s="58"/>
      <c r="AF4" s="58"/>
      <c r="AG4" s="56"/>
      <c r="AH4" s="60"/>
      <c r="AI4" s="61"/>
      <c r="AJ4" s="56"/>
      <c r="AK4" s="81" t="s">
        <v>252</v>
      </c>
      <c r="AL4" s="56"/>
      <c r="AM4" s="56"/>
      <c r="AN4" s="56"/>
      <c r="AO4" s="56"/>
    </row>
    <row r="5" spans="1:41" ht="12" customHeight="1">
      <c r="A5" s="230" t="s">
        <v>255</v>
      </c>
      <c r="B5" s="230"/>
      <c r="C5" s="230"/>
      <c r="D5" s="230"/>
      <c r="E5" s="458"/>
      <c r="F5" s="347"/>
      <c r="G5" s="347"/>
      <c r="H5" s="347"/>
      <c r="I5" s="347"/>
      <c r="J5" s="347"/>
      <c r="K5" s="347"/>
      <c r="L5" s="347"/>
      <c r="M5" s="347"/>
      <c r="N5" s="347"/>
      <c r="O5" s="347"/>
      <c r="P5" s="347"/>
      <c r="Q5" s="347"/>
      <c r="R5" s="347"/>
      <c r="S5" s="347"/>
      <c r="T5" s="347"/>
      <c r="U5" s="347"/>
      <c r="V5" s="347"/>
      <c r="W5" s="348"/>
      <c r="X5" s="459"/>
      <c r="Y5" s="460"/>
      <c r="Z5" s="460"/>
      <c r="AA5" s="460"/>
      <c r="AB5" s="460"/>
      <c r="AC5" s="325"/>
      <c r="AD5" s="58" t="s">
        <v>251</v>
      </c>
      <c r="AE5" s="58"/>
      <c r="AF5" s="58"/>
      <c r="AG5" s="56"/>
      <c r="AH5" s="56"/>
      <c r="AI5" s="56"/>
      <c r="AJ5" s="56"/>
      <c r="AK5" s="81" t="s">
        <v>252</v>
      </c>
      <c r="AL5" s="182"/>
      <c r="AM5" s="56"/>
      <c r="AN5" s="56"/>
      <c r="AO5" s="56"/>
    </row>
    <row r="6" spans="1:41" ht="11.25" customHeight="1">
      <c r="A6" s="232"/>
      <c r="B6" s="232"/>
      <c r="C6" s="232"/>
      <c r="D6" s="232"/>
      <c r="E6" s="349"/>
      <c r="F6" s="350"/>
      <c r="G6" s="350"/>
      <c r="H6" s="350"/>
      <c r="I6" s="350"/>
      <c r="J6" s="350"/>
      <c r="K6" s="350"/>
      <c r="L6" s="350"/>
      <c r="M6" s="350"/>
      <c r="N6" s="350"/>
      <c r="O6" s="350"/>
      <c r="P6" s="350"/>
      <c r="Q6" s="350"/>
      <c r="R6" s="350"/>
      <c r="S6" s="350"/>
      <c r="T6" s="350"/>
      <c r="U6" s="350"/>
      <c r="V6" s="350"/>
      <c r="W6" s="351"/>
      <c r="X6" s="459" t="s">
        <v>256</v>
      </c>
      <c r="Y6" s="460"/>
      <c r="Z6" s="460"/>
      <c r="AA6" s="460"/>
      <c r="AB6" s="460"/>
      <c r="AC6" s="236"/>
      <c r="AD6" s="62">
        <f>IF(AI3="JA",0,1)</f>
        <v>1</v>
      </c>
      <c r="AE6" s="58"/>
      <c r="AF6" s="58"/>
      <c r="AG6" s="56"/>
      <c r="AH6" s="56"/>
      <c r="AI6" s="56"/>
      <c r="AJ6" s="56"/>
      <c r="AK6" s="81" t="s">
        <v>252</v>
      </c>
      <c r="AL6" s="56"/>
      <c r="AM6" s="56"/>
      <c r="AN6" s="56"/>
      <c r="AO6" s="56"/>
    </row>
    <row r="7" spans="1:41" ht="15" customHeight="1" thickBot="1">
      <c r="A7" s="230" t="s">
        <v>257</v>
      </c>
      <c r="B7" s="324"/>
      <c r="C7" s="324"/>
      <c r="D7" s="324"/>
      <c r="E7" s="366"/>
      <c r="F7" s="367"/>
      <c r="G7" s="367"/>
      <c r="H7" s="367"/>
      <c r="I7" s="367"/>
      <c r="J7" s="367"/>
      <c r="K7" s="367"/>
      <c r="L7" s="367"/>
      <c r="M7" s="307"/>
      <c r="N7" s="461"/>
      <c r="O7" s="461"/>
      <c r="P7" s="461"/>
      <c r="Q7" s="461"/>
      <c r="R7" s="461"/>
      <c r="S7" s="461"/>
      <c r="T7" s="461"/>
      <c r="U7" s="461"/>
      <c r="V7" s="461"/>
      <c r="W7" s="462"/>
      <c r="X7" s="368"/>
      <c r="Y7" s="368"/>
      <c r="Z7" s="368"/>
      <c r="AA7" s="368"/>
      <c r="AB7" s="368"/>
      <c r="AC7" s="237"/>
      <c r="AD7" s="63"/>
      <c r="AE7" s="64"/>
      <c r="AF7" s="63"/>
      <c r="AG7" s="64"/>
      <c r="AH7" s="64"/>
      <c r="AI7" s="56"/>
      <c r="AJ7" s="56"/>
      <c r="AK7" s="56"/>
      <c r="AL7" s="56"/>
      <c r="AM7" s="56"/>
      <c r="AN7" s="56"/>
      <c r="AO7" s="56"/>
    </row>
    <row r="8" spans="1:41" ht="55.5" customHeight="1" thickTop="1">
      <c r="A8" s="233"/>
      <c r="B8" s="233"/>
      <c r="C8" s="233"/>
      <c r="D8" s="233"/>
      <c r="E8" s="75"/>
      <c r="F8" s="75"/>
      <c r="G8" s="75"/>
      <c r="H8" s="75"/>
      <c r="I8" s="75"/>
      <c r="J8" s="75"/>
      <c r="K8" s="75"/>
      <c r="L8" s="248"/>
      <c r="M8" s="248"/>
      <c r="N8" s="75"/>
      <c r="O8" s="241"/>
      <c r="P8" s="241"/>
      <c r="Q8" s="241"/>
      <c r="R8" s="241"/>
      <c r="S8" s="241"/>
      <c r="T8" s="241"/>
      <c r="U8" s="241"/>
      <c r="V8" s="241"/>
      <c r="W8" s="241"/>
      <c r="X8" s="238"/>
      <c r="Y8" s="238"/>
      <c r="Z8" s="238"/>
      <c r="AA8" s="238"/>
      <c r="AB8" s="238"/>
      <c r="AC8" s="238"/>
      <c r="AD8" s="58"/>
      <c r="AE8" s="58"/>
      <c r="AF8" s="58"/>
      <c r="AG8" s="56"/>
      <c r="AH8" s="56"/>
      <c r="AI8" s="56"/>
      <c r="AJ8" s="56"/>
      <c r="AK8" s="56"/>
      <c r="AL8" s="56"/>
      <c r="AM8" s="56"/>
      <c r="AN8" s="56"/>
      <c r="AO8" s="56"/>
    </row>
    <row r="9" spans="1:41" ht="12" customHeight="1">
      <c r="A9" s="463" t="s">
        <v>258</v>
      </c>
      <c r="B9" s="464"/>
      <c r="C9" s="464"/>
      <c r="D9" s="464"/>
      <c r="E9" s="369"/>
      <c r="F9" s="456"/>
      <c r="G9" s="456"/>
      <c r="H9" s="456"/>
      <c r="I9" s="456"/>
      <c r="J9" s="465"/>
      <c r="K9" s="466"/>
      <c r="L9" s="466"/>
      <c r="M9" s="466"/>
      <c r="N9" s="466"/>
      <c r="O9" s="466"/>
      <c r="P9" s="466"/>
      <c r="Q9" s="466"/>
      <c r="R9" s="467"/>
      <c r="S9" s="467"/>
      <c r="T9" s="466"/>
      <c r="U9" s="466"/>
      <c r="V9" s="466"/>
      <c r="W9" s="335"/>
      <c r="X9" s="239"/>
      <c r="Y9" s="75"/>
      <c r="Z9" s="75"/>
      <c r="AA9" s="75"/>
      <c r="AB9" s="240"/>
      <c r="AC9" s="75"/>
      <c r="AD9" s="58"/>
      <c r="AE9" s="58"/>
      <c r="AF9" s="58"/>
      <c r="AG9" s="56"/>
      <c r="AH9" s="56"/>
      <c r="AI9" s="56"/>
      <c r="AJ9" s="56"/>
      <c r="AK9" s="56"/>
      <c r="AL9" s="56"/>
      <c r="AM9" s="56"/>
      <c r="AN9" s="56"/>
      <c r="AO9" s="56"/>
    </row>
    <row r="10" spans="1:41" ht="12" customHeight="1">
      <c r="A10" s="468" t="s">
        <v>259</v>
      </c>
      <c r="B10" s="464"/>
      <c r="C10" s="464"/>
      <c r="D10" s="464"/>
      <c r="E10" s="357"/>
      <c r="F10" s="456"/>
      <c r="G10" s="456"/>
      <c r="H10" s="456"/>
      <c r="I10" s="456"/>
      <c r="J10" s="456"/>
      <c r="K10" s="456"/>
      <c r="L10" s="456"/>
      <c r="M10" s="456"/>
      <c r="N10" s="456"/>
      <c r="O10" s="456"/>
      <c r="P10" s="456"/>
      <c r="Q10" s="456"/>
      <c r="R10" s="456"/>
      <c r="S10" s="456"/>
      <c r="T10" s="456"/>
      <c r="U10" s="456"/>
      <c r="V10" s="456"/>
      <c r="W10" s="465"/>
      <c r="X10" s="247"/>
      <c r="Y10" s="248"/>
      <c r="Z10" s="248"/>
      <c r="AA10" s="241"/>
      <c r="AB10" s="240"/>
      <c r="AC10" s="75"/>
      <c r="AD10" s="58"/>
      <c r="AE10" s="58"/>
      <c r="AF10" s="58"/>
      <c r="AG10" s="56"/>
      <c r="AH10" s="56"/>
      <c r="AI10" s="56"/>
      <c r="AJ10" s="56"/>
      <c r="AK10" s="56"/>
      <c r="AL10" s="56"/>
      <c r="AM10" s="56"/>
      <c r="AN10" s="56"/>
      <c r="AO10" s="56"/>
    </row>
    <row r="11" spans="1:41">
      <c r="A11" s="469" t="s">
        <v>260</v>
      </c>
      <c r="B11" s="470"/>
      <c r="C11" s="470"/>
      <c r="D11" s="470"/>
      <c r="E11" s="356"/>
      <c r="F11" s="471"/>
      <c r="G11" s="471"/>
      <c r="H11" s="471"/>
      <c r="I11" s="471"/>
      <c r="J11" s="471"/>
      <c r="K11" s="471"/>
      <c r="L11" s="471"/>
      <c r="M11" s="471"/>
      <c r="N11" s="471"/>
      <c r="O11" s="471"/>
      <c r="P11" s="472"/>
      <c r="Q11" s="472"/>
      <c r="R11" s="472"/>
      <c r="S11" s="472"/>
      <c r="T11" s="472"/>
      <c r="U11" s="472"/>
      <c r="V11" s="472"/>
      <c r="W11" s="473"/>
      <c r="X11" s="242"/>
      <c r="Y11" s="243"/>
      <c r="Z11" s="243"/>
      <c r="AA11" s="243"/>
      <c r="AB11" s="243"/>
      <c r="AC11" s="243"/>
      <c r="AD11" s="65"/>
      <c r="AE11" s="65"/>
      <c r="AF11" s="65"/>
      <c r="AG11" s="56"/>
      <c r="AH11" s="56"/>
      <c r="AI11" s="56"/>
      <c r="AJ11" s="56"/>
      <c r="AK11" s="56"/>
      <c r="AL11" s="56"/>
      <c r="AM11" s="56"/>
      <c r="AN11" s="56"/>
      <c r="AO11" s="56"/>
    </row>
    <row r="12" spans="1:41">
      <c r="A12" s="474" t="s">
        <v>261</v>
      </c>
      <c r="B12" s="470"/>
      <c r="C12" s="470"/>
      <c r="D12" s="475"/>
      <c r="E12" s="357"/>
      <c r="F12" s="456"/>
      <c r="G12" s="456"/>
      <c r="H12" s="456"/>
      <c r="I12" s="456"/>
      <c r="J12" s="456"/>
      <c r="K12" s="456"/>
      <c r="L12" s="456"/>
      <c r="M12" s="456"/>
      <c r="N12" s="456"/>
      <c r="O12" s="456"/>
      <c r="P12" s="456"/>
      <c r="Q12" s="456"/>
      <c r="R12" s="456"/>
      <c r="S12" s="456"/>
      <c r="T12" s="456"/>
      <c r="U12" s="456"/>
      <c r="V12" s="456"/>
      <c r="W12" s="465"/>
      <c r="X12" s="246"/>
      <c r="Y12" s="249"/>
      <c r="Z12" s="249"/>
      <c r="AA12" s="249"/>
      <c r="AB12" s="249"/>
      <c r="AC12" s="244"/>
      <c r="AD12" s="56"/>
      <c r="AE12" s="56"/>
      <c r="AF12" s="56"/>
      <c r="AG12" s="56"/>
      <c r="AH12" s="56"/>
      <c r="AI12" s="56"/>
      <c r="AJ12" s="56"/>
      <c r="AK12" s="56"/>
      <c r="AL12" s="56"/>
      <c r="AM12" s="56"/>
      <c r="AN12" s="56"/>
      <c r="AO12" s="56"/>
    </row>
    <row r="13" spans="1:41" ht="13.5" thickBot="1">
      <c r="A13" s="234" t="s">
        <v>262</v>
      </c>
      <c r="B13" s="231"/>
      <c r="C13" s="231"/>
      <c r="D13" s="231"/>
      <c r="E13" s="235"/>
      <c r="F13" s="235"/>
      <c r="G13" s="235"/>
      <c r="H13" s="235"/>
      <c r="I13" s="235"/>
      <c r="J13" s="476"/>
      <c r="K13" s="477"/>
      <c r="L13" s="235"/>
      <c r="M13" s="235"/>
      <c r="N13" s="235"/>
      <c r="O13" s="235"/>
      <c r="P13" s="235"/>
      <c r="Q13" s="235"/>
      <c r="R13" s="234" t="s">
        <v>263</v>
      </c>
      <c r="S13" s="235"/>
      <c r="T13" s="235"/>
      <c r="U13" s="235"/>
      <c r="V13" s="245"/>
      <c r="W13" s="478" t="str">
        <f>IF(J13&gt;0,VLOOKUP(J13,Indata!K2:N41,2,0),"")</f>
        <v/>
      </c>
      <c r="X13" s="479"/>
      <c r="Y13" s="479"/>
      <c r="Z13" s="479"/>
      <c r="AA13" s="479"/>
      <c r="AB13" s="479"/>
      <c r="AC13" s="75"/>
      <c r="AD13" s="56"/>
      <c r="AE13" s="56"/>
      <c r="AF13" s="56"/>
      <c r="AG13" s="56"/>
      <c r="AH13" s="56"/>
      <c r="AI13" s="56"/>
      <c r="AJ13" s="56"/>
      <c r="AK13" s="56"/>
      <c r="AL13" s="56"/>
      <c r="AM13" s="56"/>
      <c r="AN13" s="56"/>
      <c r="AO13" s="56"/>
    </row>
    <row r="14" spans="1:41" ht="13.5" thickTop="1">
      <c r="A14" s="121"/>
      <c r="B14" s="121"/>
      <c r="C14" s="121"/>
      <c r="D14" s="121"/>
      <c r="E14" s="121"/>
      <c r="F14" s="121"/>
      <c r="G14" s="121"/>
      <c r="H14" s="121"/>
      <c r="I14" s="121"/>
      <c r="J14" s="121"/>
      <c r="K14" s="121"/>
      <c r="L14" s="121"/>
      <c r="M14" s="121"/>
      <c r="N14" s="121"/>
      <c r="O14" s="121"/>
      <c r="P14" s="121"/>
      <c r="Q14" s="121"/>
      <c r="R14" s="121"/>
      <c r="S14" s="121"/>
      <c r="T14" s="121"/>
      <c r="U14" s="121"/>
      <c r="V14" s="121"/>
      <c r="W14" s="66"/>
      <c r="X14" s="66"/>
      <c r="Y14" s="66"/>
      <c r="Z14" s="66"/>
      <c r="AA14" s="66"/>
      <c r="AB14" s="124"/>
      <c r="AC14" s="66"/>
      <c r="AD14" s="56"/>
      <c r="AE14" s="56"/>
      <c r="AF14" s="56"/>
      <c r="AG14" s="56"/>
      <c r="AH14" s="56"/>
      <c r="AI14" s="56"/>
      <c r="AJ14" s="56"/>
      <c r="AK14" s="56"/>
      <c r="AL14" s="56"/>
      <c r="AM14" s="56"/>
      <c r="AN14" s="56"/>
      <c r="AO14" s="56"/>
    </row>
    <row r="15" spans="1:41">
      <c r="A15" s="67"/>
      <c r="B15" s="67"/>
      <c r="C15" s="67"/>
      <c r="D15" s="67"/>
      <c r="E15" s="67"/>
      <c r="F15" s="67"/>
      <c r="G15" s="67"/>
      <c r="H15" s="67"/>
      <c r="I15" s="67"/>
      <c r="J15" s="67"/>
      <c r="K15" s="67"/>
      <c r="L15" s="67"/>
      <c r="M15" s="67"/>
      <c r="N15" s="67"/>
      <c r="O15" s="67"/>
      <c r="P15" s="67"/>
      <c r="Q15" s="67"/>
      <c r="R15" s="67"/>
      <c r="S15" s="67"/>
      <c r="T15" s="67"/>
      <c r="U15" s="67"/>
      <c r="V15" s="68"/>
      <c r="W15" s="68"/>
      <c r="X15" s="68"/>
      <c r="Y15" s="68"/>
      <c r="Z15" s="68"/>
      <c r="AA15" s="68"/>
      <c r="AB15" s="125"/>
      <c r="AC15" s="68"/>
      <c r="AD15" s="56"/>
      <c r="AE15" s="56"/>
      <c r="AF15" s="56"/>
      <c r="AG15" s="56"/>
      <c r="AH15" s="56"/>
      <c r="AI15" s="56"/>
      <c r="AJ15" s="56"/>
      <c r="AK15" s="56"/>
      <c r="AL15" s="56"/>
      <c r="AM15" s="56"/>
      <c r="AN15" s="56"/>
      <c r="AO15" s="56"/>
    </row>
    <row r="16" spans="1:41">
      <c r="A16" s="480" t="s">
        <v>264</v>
      </c>
      <c r="B16" s="481"/>
      <c r="C16" s="481"/>
      <c r="D16" s="481"/>
      <c r="E16" s="481"/>
      <c r="F16" s="481"/>
      <c r="G16" s="481"/>
      <c r="H16" s="481"/>
      <c r="I16" s="481"/>
      <c r="J16" s="481"/>
      <c r="K16" s="481"/>
      <c r="L16" s="481"/>
      <c r="M16" s="481"/>
      <c r="N16" s="481"/>
      <c r="O16" s="481"/>
      <c r="P16" s="481"/>
      <c r="Q16" s="481"/>
      <c r="R16" s="481"/>
      <c r="S16" s="481"/>
      <c r="T16" s="481"/>
      <c r="U16" s="481"/>
      <c r="V16" s="482"/>
      <c r="W16" s="70"/>
      <c r="X16" s="69"/>
      <c r="Y16" s="69"/>
      <c r="Z16" s="364" t="s">
        <v>265</v>
      </c>
      <c r="AA16" s="365"/>
      <c r="AB16" s="365"/>
      <c r="AC16" s="365"/>
      <c r="AD16" s="56"/>
      <c r="AE16" s="56"/>
      <c r="AF16" s="56"/>
      <c r="AG16" s="56"/>
      <c r="AH16" s="56"/>
      <c r="AI16" s="56"/>
      <c r="AJ16" s="56"/>
      <c r="AK16" s="56"/>
      <c r="AL16" s="56"/>
      <c r="AM16" s="56"/>
      <c r="AN16" s="56"/>
      <c r="AO16" s="56"/>
    </row>
    <row r="17" spans="1:41" ht="15" customHeight="1">
      <c r="A17" s="48" t="s">
        <v>266</v>
      </c>
      <c r="B17" s="48"/>
      <c r="C17" s="48"/>
      <c r="D17" s="48"/>
      <c r="E17" s="48"/>
      <c r="F17" s="48"/>
      <c r="G17" s="48"/>
      <c r="H17" s="48"/>
      <c r="I17" s="48"/>
      <c r="J17" s="48"/>
      <c r="K17" s="48"/>
      <c r="L17" s="48"/>
      <c r="M17" s="48"/>
      <c r="N17" s="48"/>
      <c r="O17" s="48"/>
      <c r="P17" s="48"/>
      <c r="Q17" s="48"/>
      <c r="R17" s="66"/>
      <c r="S17" s="48"/>
      <c r="T17" s="48"/>
      <c r="U17" s="71"/>
      <c r="V17" s="47"/>
      <c r="W17" s="66"/>
      <c r="X17" s="66"/>
      <c r="Y17" s="66"/>
      <c r="Z17" s="66"/>
      <c r="AA17" s="66"/>
      <c r="AB17" s="186">
        <f>IF(Åker!N51-Åker!M51&lt;0,0,Åker!N51-Åker!M51)</f>
        <v>0</v>
      </c>
      <c r="AC17" s="66"/>
      <c r="AD17" s="56"/>
      <c r="AE17" s="56"/>
      <c r="AF17" s="56"/>
      <c r="AG17" s="56"/>
      <c r="AH17" s="56"/>
      <c r="AI17" s="56"/>
      <c r="AJ17" s="56"/>
      <c r="AK17" s="56"/>
      <c r="AL17" s="56"/>
      <c r="AM17" s="56"/>
      <c r="AN17" s="56"/>
      <c r="AO17" s="56"/>
    </row>
    <row r="18" spans="1:41" ht="15" customHeight="1" thickBot="1">
      <c r="A18" s="48" t="s">
        <v>267</v>
      </c>
      <c r="B18" s="48"/>
      <c r="C18" s="48"/>
      <c r="D18" s="48"/>
      <c r="E18" s="48"/>
      <c r="F18" s="48"/>
      <c r="G18" s="48"/>
      <c r="H18" s="48"/>
      <c r="I18" s="48"/>
      <c r="J18" s="48"/>
      <c r="K18" s="48"/>
      <c r="L18" s="48"/>
      <c r="M18" s="48"/>
      <c r="N18" s="48"/>
      <c r="O18" s="48"/>
      <c r="P18" s="48"/>
      <c r="Q18" s="48"/>
      <c r="R18" s="47"/>
      <c r="S18" s="48"/>
      <c r="T18" s="48"/>
      <c r="U18" s="66"/>
      <c r="V18" s="47"/>
      <c r="W18" s="66" t="s">
        <v>268</v>
      </c>
      <c r="X18" s="66"/>
      <c r="Y18" s="66"/>
      <c r="Z18" s="66"/>
      <c r="AA18" s="66"/>
      <c r="AB18" s="47">
        <f>Skog!B10+Skog!B12+Skog!B14+Skog!B16</f>
        <v>0</v>
      </c>
      <c r="AC18" s="66"/>
      <c r="AD18" s="56"/>
      <c r="AE18" s="56"/>
      <c r="AF18" s="56"/>
      <c r="AG18" s="56"/>
      <c r="AK18" s="56"/>
      <c r="AL18" s="56"/>
      <c r="AM18" s="56"/>
      <c r="AN18" s="56"/>
      <c r="AO18" s="56"/>
    </row>
    <row r="19" spans="1:41" ht="15" customHeight="1" thickBot="1">
      <c r="A19" s="48" t="s">
        <v>240</v>
      </c>
      <c r="B19" s="66"/>
      <c r="C19" s="48"/>
      <c r="D19" s="48"/>
      <c r="E19" s="48"/>
      <c r="F19" s="48"/>
      <c r="G19" s="48"/>
      <c r="H19" s="48"/>
      <c r="I19" s="48"/>
      <c r="J19" s="48"/>
      <c r="K19" s="48"/>
      <c r="L19" s="48"/>
      <c r="M19" s="48"/>
      <c r="N19" s="48"/>
      <c r="O19" s="48"/>
      <c r="P19" s="48"/>
      <c r="Q19" s="48"/>
      <c r="R19" s="48"/>
      <c r="S19" s="50"/>
      <c r="T19" s="50" t="s">
        <v>269</v>
      </c>
      <c r="U19" s="50"/>
      <c r="V19" s="316"/>
      <c r="W19" s="66" t="s">
        <v>270</v>
      </c>
      <c r="X19" s="66"/>
      <c r="Y19" s="315">
        <v>1</v>
      </c>
      <c r="Z19" s="66"/>
      <c r="AA19" s="66"/>
      <c r="AB19" s="302">
        <f>IF(V19="",0,V19*Indata!E7*Indata!Q27)</f>
        <v>0</v>
      </c>
      <c r="AC19" s="66"/>
      <c r="AD19" s="328" t="s">
        <v>249</v>
      </c>
      <c r="AE19" s="56"/>
      <c r="AF19" s="56"/>
      <c r="AG19" s="56"/>
      <c r="AK19" s="215" t="s">
        <v>271</v>
      </c>
      <c r="AL19" s="216" t="s">
        <v>251</v>
      </c>
      <c r="AM19" s="56"/>
      <c r="AN19" s="56"/>
      <c r="AO19" s="56"/>
    </row>
    <row r="20" spans="1:41" ht="15" customHeight="1">
      <c r="A20" s="48" t="s">
        <v>272</v>
      </c>
      <c r="B20" s="66"/>
      <c r="C20" s="48"/>
      <c r="D20" s="48"/>
      <c r="E20" s="48"/>
      <c r="F20" s="48"/>
      <c r="G20" s="48"/>
      <c r="H20" s="48"/>
      <c r="I20" s="48"/>
      <c r="J20" s="48"/>
      <c r="K20" s="50"/>
      <c r="L20" s="48"/>
      <c r="M20" s="48"/>
      <c r="N20" s="48"/>
      <c r="O20" s="48"/>
      <c r="P20" s="48"/>
      <c r="Q20" s="48"/>
      <c r="R20" s="48" t="s">
        <v>273</v>
      </c>
      <c r="S20" s="72"/>
      <c r="T20" s="48"/>
      <c r="U20" s="301">
        <f>'Nätstationer &amp; Kabelskåp'!C15</f>
        <v>0</v>
      </c>
      <c r="V20" s="66"/>
      <c r="W20" s="66"/>
      <c r="X20" s="66"/>
      <c r="Y20" s="66"/>
      <c r="Z20" s="66"/>
      <c r="AA20" s="66"/>
      <c r="AB20" s="47">
        <f>'Nätstationer &amp; Kabelskåp'!H15</f>
        <v>0</v>
      </c>
      <c r="AC20" s="66"/>
      <c r="AD20" s="328"/>
      <c r="AE20" s="56"/>
      <c r="AF20" s="56"/>
      <c r="AG20" s="56"/>
      <c r="AK20" s="81"/>
      <c r="AL20" s="56"/>
      <c r="AM20" s="56"/>
      <c r="AN20" s="56"/>
      <c r="AO20" s="56"/>
    </row>
    <row r="21" spans="1:41" ht="15" customHeight="1">
      <c r="A21" s="370" t="str">
        <f>IF('Nätstationer &amp; Kabelskåp'!D26&gt;0,Indata!Q8,"")</f>
        <v/>
      </c>
      <c r="B21" s="371"/>
      <c r="C21" s="371"/>
      <c r="D21" s="371"/>
      <c r="E21" s="371"/>
      <c r="F21" s="371"/>
      <c r="G21" s="371"/>
      <c r="H21" s="371"/>
      <c r="I21" s="371"/>
      <c r="J21" s="48"/>
      <c r="K21" s="50"/>
      <c r="L21" s="48"/>
      <c r="M21" s="48"/>
      <c r="N21" s="48"/>
      <c r="O21" s="48"/>
      <c r="P21" s="48"/>
      <c r="Q21" s="48"/>
      <c r="R21" s="48"/>
      <c r="S21" s="72"/>
      <c r="T21" s="48"/>
      <c r="U21" s="286"/>
      <c r="V21" s="66"/>
      <c r="W21" s="66"/>
      <c r="X21" s="66"/>
      <c r="Y21" s="66"/>
      <c r="Z21" s="66"/>
      <c r="AA21" s="66"/>
      <c r="AB21" s="302">
        <f>IF('Nätstationer &amp; Kabelskåp'!D26&gt;0,'Nätstationer &amp; Kabelskåp'!C26*'Nätstationer &amp; Kabelskåp'!D26,0)</f>
        <v>0</v>
      </c>
      <c r="AC21" s="66"/>
      <c r="AD21" s="328"/>
      <c r="AE21" s="56"/>
      <c r="AF21" s="56"/>
      <c r="AG21" s="56"/>
      <c r="AK21" s="56"/>
      <c r="AL21" s="56"/>
      <c r="AM21" s="56"/>
      <c r="AN21" s="56"/>
      <c r="AO21" s="56"/>
    </row>
    <row r="22" spans="1:41" ht="15" customHeight="1">
      <c r="A22" s="48" t="s">
        <v>274</v>
      </c>
      <c r="B22" s="66"/>
      <c r="C22" s="48"/>
      <c r="D22" s="48"/>
      <c r="E22" s="48"/>
      <c r="F22" s="48"/>
      <c r="G22" s="48"/>
      <c r="H22" s="48"/>
      <c r="I22" s="48"/>
      <c r="J22" s="48"/>
      <c r="K22" s="48"/>
      <c r="L22" s="48"/>
      <c r="M22" s="48"/>
      <c r="N22" s="48"/>
      <c r="O22" s="48"/>
      <c r="P22" s="48"/>
      <c r="Q22" s="48"/>
      <c r="R22" s="48" t="s">
        <v>273</v>
      </c>
      <c r="S22" s="72"/>
      <c r="T22" s="48"/>
      <c r="U22" s="286">
        <f>'Nätstationer &amp; Kabelskåp'!C14</f>
        <v>0</v>
      </c>
      <c r="V22" s="66"/>
      <c r="W22" s="66"/>
      <c r="X22" s="66"/>
      <c r="Y22" s="66"/>
      <c r="Z22" s="66"/>
      <c r="AA22" s="66"/>
      <c r="AB22" s="302">
        <f>'Nätstationer &amp; Kabelskåp'!C14*'Nätstationer &amp; Kabelskåp'!C12</f>
        <v>0</v>
      </c>
      <c r="AC22" s="66"/>
      <c r="AD22" s="328"/>
      <c r="AE22" s="56"/>
      <c r="AF22" s="56"/>
      <c r="AG22" s="56"/>
      <c r="AK22" s="56"/>
      <c r="AL22" s="56"/>
      <c r="AM22" s="56"/>
      <c r="AN22" s="56"/>
      <c r="AO22" s="56"/>
    </row>
    <row r="23" spans="1:41" ht="15" customHeight="1">
      <c r="A23" s="358"/>
      <c r="B23" s="359"/>
      <c r="C23" s="359"/>
      <c r="D23" s="359"/>
      <c r="E23" s="359"/>
      <c r="F23" s="359"/>
      <c r="G23" s="359"/>
      <c r="H23" s="359"/>
      <c r="I23" s="359"/>
      <c r="J23" s="48"/>
      <c r="K23" s="48"/>
      <c r="L23" s="48"/>
      <c r="M23" s="48"/>
      <c r="N23" s="48"/>
      <c r="O23" s="48"/>
      <c r="P23" s="48"/>
      <c r="Q23" s="48"/>
      <c r="R23" s="48"/>
      <c r="S23" s="72"/>
      <c r="T23" s="48"/>
      <c r="U23" s="72"/>
      <c r="V23" s="66"/>
      <c r="W23" s="66"/>
      <c r="X23" s="66"/>
      <c r="Y23" s="66"/>
      <c r="Z23" s="66"/>
      <c r="AA23" s="66"/>
      <c r="AB23" s="47"/>
      <c r="AC23" s="66"/>
      <c r="AD23" s="328"/>
      <c r="AE23" s="56"/>
      <c r="AF23" s="56"/>
      <c r="AG23" s="56"/>
      <c r="AK23" s="56"/>
      <c r="AL23" s="56"/>
      <c r="AM23" s="56"/>
      <c r="AN23" s="56"/>
      <c r="AO23" s="56"/>
    </row>
    <row r="24" spans="1:41">
      <c r="A24" s="48" t="s">
        <v>275</v>
      </c>
      <c r="B24" s="66"/>
      <c r="C24" s="48"/>
      <c r="D24" s="48"/>
      <c r="E24" s="48"/>
      <c r="F24" s="48"/>
      <c r="G24" s="48"/>
      <c r="H24" s="48"/>
      <c r="I24" s="48"/>
      <c r="J24" s="48"/>
      <c r="K24" s="48"/>
      <c r="L24" s="48"/>
      <c r="M24" s="48"/>
      <c r="N24" s="483"/>
      <c r="O24" s="483"/>
      <c r="P24" s="483"/>
      <c r="Q24" s="483"/>
      <c r="R24" s="483"/>
      <c r="S24" s="483"/>
      <c r="T24" s="483"/>
      <c r="U24" s="483"/>
      <c r="V24" s="483"/>
      <c r="W24" s="483"/>
      <c r="X24" s="483"/>
      <c r="Y24" s="483"/>
      <c r="Z24" s="483"/>
      <c r="AA24" s="66"/>
      <c r="AB24" s="126"/>
      <c r="AC24" s="66"/>
      <c r="AD24" s="328"/>
      <c r="AE24" s="56"/>
      <c r="AF24" s="56"/>
      <c r="AG24" s="56"/>
      <c r="AK24" s="56"/>
      <c r="AL24" s="56"/>
      <c r="AM24" s="89"/>
      <c r="AN24" s="89"/>
      <c r="AO24" s="89"/>
    </row>
    <row r="25" spans="1:41" ht="15" customHeight="1">
      <c r="A25" s="48" t="s">
        <v>276</v>
      </c>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187">
        <f>IF(AB17&gt;0,(AB17*0.66+AB18+AB19+AB20+AB21+AB22+AB24)*0.25,(AB18+AB19+AB20+AB21+AB22+AB24)*0.25)</f>
        <v>0</v>
      </c>
      <c r="AC25" s="66"/>
      <c r="AD25" s="56" t="s">
        <v>254</v>
      </c>
      <c r="AE25" s="56"/>
      <c r="AF25" s="56"/>
      <c r="AG25" s="56"/>
      <c r="AK25" s="61" t="s">
        <v>252</v>
      </c>
      <c r="AL25" s="56"/>
      <c r="AM25" s="56"/>
      <c r="AN25" s="56"/>
      <c r="AO25" s="56"/>
    </row>
    <row r="26" spans="1:41" ht="15" customHeight="1">
      <c r="A26" s="67" t="s">
        <v>277</v>
      </c>
      <c r="B26" s="67"/>
      <c r="C26" s="67"/>
      <c r="D26" s="67"/>
      <c r="E26" s="67"/>
      <c r="F26" s="67"/>
      <c r="G26" s="67"/>
      <c r="H26" s="67"/>
      <c r="I26" s="67"/>
      <c r="J26" s="67"/>
      <c r="K26" s="67"/>
      <c r="L26" s="67"/>
      <c r="M26" s="67"/>
      <c r="N26" s="484"/>
      <c r="O26" s="485"/>
      <c r="P26" s="485"/>
      <c r="Q26" s="485"/>
      <c r="R26" s="485"/>
      <c r="S26" s="485"/>
      <c r="T26" s="485"/>
      <c r="U26" s="485"/>
      <c r="V26" s="485"/>
      <c r="W26" s="485"/>
      <c r="X26" s="485"/>
      <c r="Y26" s="485"/>
      <c r="Z26" s="485"/>
      <c r="AA26" s="68"/>
      <c r="AB26" s="305"/>
      <c r="AC26" s="73">
        <f>AB26-AB28</f>
        <v>0</v>
      </c>
      <c r="AD26" s="486">
        <f>IF(AL19="JA",1,0)</f>
        <v>0</v>
      </c>
      <c r="AE26" s="56"/>
      <c r="AF26" s="56"/>
      <c r="AG26" s="56"/>
      <c r="AK26" s="81" t="s">
        <v>252</v>
      </c>
      <c r="AL26" s="56"/>
      <c r="AM26" s="56"/>
      <c r="AN26" s="56"/>
      <c r="AO26" s="56"/>
    </row>
    <row r="27" spans="1:41" ht="15" customHeight="1">
      <c r="A27" s="87" t="s">
        <v>278</v>
      </c>
      <c r="B27" s="48"/>
      <c r="C27" s="48"/>
      <c r="D27" s="48"/>
      <c r="E27" s="48"/>
      <c r="F27" s="48"/>
      <c r="G27" s="48"/>
      <c r="H27" s="48"/>
      <c r="I27" s="48"/>
      <c r="J27" s="48"/>
      <c r="K27" s="48"/>
      <c r="L27" s="48"/>
      <c r="M27" s="48"/>
      <c r="N27" s="48"/>
      <c r="O27" s="48"/>
      <c r="P27" s="48"/>
      <c r="Q27" s="48"/>
      <c r="R27" s="49"/>
      <c r="S27" s="48"/>
      <c r="T27" s="48"/>
      <c r="U27" s="66"/>
      <c r="V27" s="66"/>
      <c r="W27" s="66"/>
      <c r="X27" s="66"/>
      <c r="Y27" s="66"/>
      <c r="Z27" s="66"/>
      <c r="AA27" s="47"/>
      <c r="AB27" s="47">
        <f>SUM(AB17:AB26)</f>
        <v>0</v>
      </c>
      <c r="AC27" s="66"/>
      <c r="AE27" s="56"/>
      <c r="AF27" s="56"/>
      <c r="AG27" s="56"/>
      <c r="AH27" s="74"/>
      <c r="AI27" s="56"/>
      <c r="AJ27" s="56"/>
      <c r="AK27" s="83">
        <f>AB27-AB28</f>
        <v>0</v>
      </c>
      <c r="AL27" s="56"/>
      <c r="AM27" s="56"/>
      <c r="AN27" s="56"/>
      <c r="AO27" s="56"/>
    </row>
    <row r="28" spans="1:41" ht="15" customHeight="1">
      <c r="A28" s="87"/>
      <c r="B28" s="48"/>
      <c r="C28" s="48"/>
      <c r="D28" s="48"/>
      <c r="E28" s="66"/>
      <c r="F28" s="66"/>
      <c r="G28" s="48"/>
      <c r="H28" s="85"/>
      <c r="I28" s="86"/>
      <c r="J28" s="48"/>
      <c r="K28" s="50"/>
      <c r="L28" s="483"/>
      <c r="M28" s="482"/>
      <c r="N28" s="482"/>
      <c r="O28" s="482"/>
      <c r="P28" s="482"/>
      <c r="Q28" s="482"/>
      <c r="R28" s="482"/>
      <c r="S28" s="482"/>
      <c r="T28" s="482"/>
      <c r="U28" s="482"/>
      <c r="V28" s="482"/>
      <c r="W28" s="482"/>
      <c r="X28" s="482"/>
      <c r="Y28" s="482"/>
      <c r="Z28" s="482"/>
      <c r="AA28" s="66"/>
      <c r="AB28" s="124"/>
      <c r="AC28" s="69"/>
      <c r="AD28" s="56" t="s">
        <v>251</v>
      </c>
      <c r="AE28" s="56"/>
      <c r="AF28" s="56"/>
      <c r="AG28" s="56"/>
      <c r="AK28" s="56"/>
      <c r="AL28" s="56"/>
      <c r="AM28" s="56"/>
      <c r="AN28" s="56"/>
      <c r="AO28" s="56"/>
    </row>
    <row r="29" spans="1:41" ht="15" customHeight="1">
      <c r="A29" s="84"/>
      <c r="B29" s="48"/>
      <c r="C29" s="48"/>
      <c r="D29" s="48"/>
      <c r="E29" s="48"/>
      <c r="F29" s="48"/>
      <c r="G29" s="48"/>
      <c r="H29" s="48"/>
      <c r="I29" s="48"/>
      <c r="J29" s="75"/>
      <c r="K29" s="50"/>
      <c r="L29" s="50"/>
      <c r="M29" s="50"/>
      <c r="N29" s="50"/>
      <c r="O29" s="50"/>
      <c r="P29" s="50"/>
      <c r="Q29" s="50"/>
      <c r="R29" s="50"/>
      <c r="S29" s="50"/>
      <c r="T29" s="50"/>
      <c r="U29" s="50"/>
      <c r="V29" s="50"/>
      <c r="W29" s="50"/>
      <c r="X29" s="50"/>
      <c r="Y29" s="50"/>
      <c r="Z29" s="66"/>
      <c r="AA29" s="66"/>
      <c r="AB29" s="124"/>
      <c r="AC29" s="66"/>
      <c r="AD29" s="56"/>
      <c r="AE29" s="56"/>
      <c r="AF29" s="56"/>
      <c r="AG29" s="56"/>
      <c r="AH29" s="56"/>
      <c r="AI29" s="56"/>
      <c r="AJ29" s="56"/>
      <c r="AK29" s="56"/>
      <c r="AL29" s="56"/>
      <c r="AM29" s="56"/>
      <c r="AN29" s="56"/>
      <c r="AO29" s="56"/>
    </row>
    <row r="30" spans="1:41" ht="15" customHeight="1">
      <c r="A30" s="84" t="s">
        <v>279</v>
      </c>
      <c r="B30" s="48"/>
      <c r="C30" s="48"/>
      <c r="D30" s="48"/>
      <c r="E30" s="48"/>
      <c r="F30" s="48"/>
      <c r="G30" s="48"/>
      <c r="H30" s="48"/>
      <c r="I30" s="48"/>
      <c r="J30" s="48"/>
      <c r="K30" s="48"/>
      <c r="L30" s="48"/>
      <c r="M30" s="48"/>
      <c r="N30" s="48"/>
      <c r="O30" s="48"/>
      <c r="P30" s="48"/>
      <c r="Q30" s="48"/>
      <c r="R30" s="48"/>
      <c r="S30" s="48"/>
      <c r="T30" s="48"/>
      <c r="U30" s="66"/>
      <c r="V30" s="66"/>
      <c r="W30" s="66"/>
      <c r="X30" s="66"/>
      <c r="Y30" s="66"/>
      <c r="Z30" s="66"/>
      <c r="AA30" s="66"/>
      <c r="AB30" s="309">
        <f>IF(Indata!E17&gt;Indata!E15,Indata!E15+Indata!E13,Indata!E17+Indata!E13)</f>
        <v>2415</v>
      </c>
      <c r="AC30" s="66"/>
      <c r="AD30" s="44">
        <f>IF((AB27-AB24)&lt;Indata!$E$13,Indata!$E$13,Indata!$H$17)</f>
        <v>2415</v>
      </c>
      <c r="AE30" s="56"/>
      <c r="AF30" s="56"/>
      <c r="AG30" s="56"/>
      <c r="AH30" s="56"/>
      <c r="AI30" s="56"/>
      <c r="AJ30" s="56"/>
      <c r="AK30" s="56"/>
      <c r="AL30" s="56"/>
      <c r="AM30" s="56"/>
      <c r="AN30" s="56"/>
      <c r="AO30" s="56"/>
    </row>
    <row r="31" spans="1:41" ht="15" customHeight="1">
      <c r="A31" s="84" t="s">
        <v>280</v>
      </c>
      <c r="B31" s="48"/>
      <c r="C31" s="48"/>
      <c r="D31" s="48"/>
      <c r="E31" s="48"/>
      <c r="F31" s="48"/>
      <c r="G31" s="48"/>
      <c r="H31" s="48"/>
      <c r="I31" s="48"/>
      <c r="J31" s="48"/>
      <c r="K31" s="50"/>
      <c r="L31" s="50"/>
      <c r="M31" s="50"/>
      <c r="N31" s="50"/>
      <c r="O31" s="50"/>
      <c r="P31" s="50"/>
      <c r="Q31" s="50"/>
      <c r="R31" s="50"/>
      <c r="S31" s="50"/>
      <c r="T31" s="50"/>
      <c r="U31" s="50"/>
      <c r="V31" s="50"/>
      <c r="W31" s="50"/>
      <c r="X31" s="50"/>
      <c r="Y31" s="50"/>
      <c r="Z31" s="66"/>
      <c r="AA31" s="66"/>
      <c r="AB31" s="71">
        <f>Skog!B18</f>
        <v>0</v>
      </c>
      <c r="AC31" s="66"/>
      <c r="AD31" s="56"/>
      <c r="AE31" s="56"/>
      <c r="AF31" s="56"/>
      <c r="AG31" s="56"/>
      <c r="AH31" s="56"/>
      <c r="AI31" s="56"/>
      <c r="AJ31" s="56"/>
      <c r="AK31" s="88">
        <f>IF(E9&gt;0,AB38-AB31*E9,AB36-AB31)</f>
        <v>2415</v>
      </c>
      <c r="AL31" s="56"/>
      <c r="AM31" s="56"/>
      <c r="AN31" s="56"/>
      <c r="AO31" s="56"/>
    </row>
    <row r="32" spans="1:41" ht="15" customHeight="1">
      <c r="A32" s="48"/>
      <c r="B32" s="48"/>
      <c r="C32" s="48"/>
      <c r="D32" s="48"/>
      <c r="E32" s="48"/>
      <c r="F32" s="48"/>
      <c r="G32" s="48"/>
      <c r="H32" s="48"/>
      <c r="I32" s="48"/>
      <c r="J32" s="48"/>
      <c r="K32" s="48"/>
      <c r="L32" s="117">
        <f>Sammandrag!AB18</f>
        <v>0</v>
      </c>
      <c r="M32" s="48"/>
      <c r="N32" s="48"/>
      <c r="O32" s="48"/>
      <c r="P32" s="48"/>
      <c r="Q32" s="48"/>
      <c r="R32" s="48"/>
      <c r="S32" s="48"/>
      <c r="T32" s="48"/>
      <c r="U32" s="48"/>
      <c r="V32" s="66"/>
      <c r="W32" s="66"/>
      <c r="X32" s="66"/>
      <c r="Y32" s="66"/>
      <c r="Z32" s="66"/>
      <c r="AA32" s="66"/>
      <c r="AB32" s="124"/>
      <c r="AC32" s="66"/>
      <c r="AD32" s="74"/>
      <c r="AE32" s="56"/>
      <c r="AF32" s="56"/>
      <c r="AG32" s="56"/>
      <c r="AH32" s="56"/>
      <c r="AI32" s="56"/>
      <c r="AJ32" s="56"/>
      <c r="AK32" s="83">
        <f>IF(E9&gt;0,AB31*E9,AB31)</f>
        <v>0</v>
      </c>
      <c r="AL32" s="56"/>
      <c r="AM32" s="56"/>
      <c r="AN32" s="56"/>
      <c r="AO32" s="56"/>
    </row>
    <row r="33" spans="1:41" ht="15" customHeight="1" thickBot="1">
      <c r="A33" s="66"/>
      <c r="B33" s="48"/>
      <c r="C33" s="48"/>
      <c r="D33" s="48"/>
      <c r="E33" s="48"/>
      <c r="F33" s="48"/>
      <c r="G33" s="48"/>
      <c r="H33" s="48"/>
      <c r="I33" s="48"/>
      <c r="J33" s="487"/>
      <c r="K33" s="482"/>
      <c r="L33" s="482"/>
      <c r="M33" s="482"/>
      <c r="N33" s="482"/>
      <c r="O33" s="482"/>
      <c r="P33" s="482"/>
      <c r="Q33" s="482"/>
      <c r="R33" s="482"/>
      <c r="S33" s="482"/>
      <c r="T33" s="482"/>
      <c r="U33" s="482"/>
      <c r="V33" s="66"/>
      <c r="W33" s="66"/>
      <c r="X33" s="66"/>
      <c r="Y33" s="66"/>
      <c r="Z33" s="66"/>
      <c r="AA33" s="66"/>
      <c r="AB33" s="47"/>
      <c r="AC33" s="76"/>
      <c r="AD33" s="74">
        <f>SUM(AB36-AB31)</f>
        <v>2415</v>
      </c>
      <c r="AE33" s="56"/>
      <c r="AF33" s="56"/>
      <c r="AG33" s="56"/>
      <c r="AH33" s="56"/>
      <c r="AI33" s="56"/>
      <c r="AJ33" s="56"/>
      <c r="AK33" s="83">
        <f>AB27+AB30+AB31</f>
        <v>2415</v>
      </c>
      <c r="AL33" s="56"/>
      <c r="AM33" s="56"/>
      <c r="AN33" s="56"/>
      <c r="AO33" s="56"/>
    </row>
    <row r="34" spans="1:41" ht="15" customHeight="1" thickTop="1">
      <c r="A34" s="48"/>
      <c r="B34" s="48"/>
      <c r="C34" s="48"/>
      <c r="D34" s="48"/>
      <c r="E34" s="48"/>
      <c r="F34" s="48"/>
      <c r="G34" s="48"/>
      <c r="H34" s="48"/>
      <c r="I34" s="48"/>
      <c r="J34" s="48"/>
      <c r="K34" s="48"/>
      <c r="L34" s="48"/>
      <c r="M34" s="48"/>
      <c r="N34" s="48"/>
      <c r="O34" s="48"/>
      <c r="P34" s="48"/>
      <c r="Q34" s="48"/>
      <c r="R34" s="48"/>
      <c r="S34" s="48"/>
      <c r="T34" s="48"/>
      <c r="U34" s="48"/>
      <c r="V34" s="66"/>
      <c r="W34" s="66"/>
      <c r="X34" s="66"/>
      <c r="Y34" s="66"/>
      <c r="Z34" s="66"/>
      <c r="AA34" s="66"/>
      <c r="AB34" s="71"/>
      <c r="AC34" s="66"/>
      <c r="AD34" s="56"/>
      <c r="AE34" s="56"/>
      <c r="AF34" s="56"/>
      <c r="AG34" s="56"/>
      <c r="AH34" s="56"/>
      <c r="AI34" s="56"/>
      <c r="AJ34" s="56"/>
      <c r="AK34" s="83">
        <f>SUM(AB27:AB31)</f>
        <v>2415</v>
      </c>
      <c r="AL34" s="56"/>
      <c r="AM34" s="56"/>
      <c r="AN34" s="56"/>
      <c r="AO34" s="56"/>
    </row>
    <row r="35" spans="1:41" ht="15" customHeight="1" thickBot="1">
      <c r="A35" s="48"/>
      <c r="B35" s="48"/>
      <c r="C35" s="48"/>
      <c r="D35" s="48"/>
      <c r="E35" s="48"/>
      <c r="F35" s="48"/>
      <c r="G35" s="48"/>
      <c r="H35" s="48"/>
      <c r="I35" s="48"/>
      <c r="J35" s="48"/>
      <c r="K35" s="48"/>
      <c r="L35" s="48"/>
      <c r="M35" s="48"/>
      <c r="N35" s="48"/>
      <c r="O35" s="48"/>
      <c r="P35" s="48"/>
      <c r="Q35" s="48"/>
      <c r="R35" s="48"/>
      <c r="S35" s="48"/>
      <c r="T35" s="48"/>
      <c r="U35" s="77"/>
      <c r="V35" s="76"/>
      <c r="W35" s="76"/>
      <c r="X35" s="76"/>
      <c r="Y35" s="76"/>
      <c r="Z35" s="76"/>
      <c r="AA35" s="76"/>
      <c r="AB35" s="127"/>
      <c r="AC35" s="76"/>
      <c r="AD35" s="56"/>
      <c r="AE35" s="56"/>
      <c r="AF35" s="56"/>
      <c r="AG35" s="56"/>
      <c r="AH35" s="56"/>
      <c r="AI35" s="56"/>
      <c r="AJ35" s="56"/>
      <c r="AK35" s="56"/>
      <c r="AL35" s="56"/>
      <c r="AM35" s="56"/>
      <c r="AN35" s="56"/>
      <c r="AO35" s="56"/>
    </row>
    <row r="36" spans="1:41" ht="16.5" customHeight="1" thickTop="1" thickBot="1">
      <c r="A36" s="488" t="s">
        <v>281</v>
      </c>
      <c r="B36" s="489"/>
      <c r="C36" s="489"/>
      <c r="D36" s="489"/>
      <c r="E36" s="489"/>
      <c r="F36" s="489"/>
      <c r="G36" s="489"/>
      <c r="H36" s="489"/>
      <c r="I36" s="489"/>
      <c r="J36" s="489"/>
      <c r="K36" s="489"/>
      <c r="L36" s="489"/>
      <c r="M36" s="489"/>
      <c r="N36" s="489"/>
      <c r="O36" s="489"/>
      <c r="P36" s="489"/>
      <c r="Q36" s="489"/>
      <c r="R36" s="490"/>
      <c r="S36" s="490"/>
      <c r="T36" s="490"/>
      <c r="U36" s="490"/>
      <c r="V36" s="490"/>
      <c r="W36" s="490"/>
      <c r="X36" s="490"/>
      <c r="Y36" s="490"/>
      <c r="Z36" s="490"/>
      <c r="AA36" s="490"/>
      <c r="AB36" s="128">
        <f>AB27+AB30+AB31</f>
        <v>2415</v>
      </c>
      <c r="AC36" s="76"/>
      <c r="AD36" s="56"/>
      <c r="AE36" s="56"/>
      <c r="AF36" s="56"/>
      <c r="AG36" s="56"/>
      <c r="AH36" s="56"/>
      <c r="AI36" s="56"/>
      <c r="AJ36" s="56"/>
      <c r="AK36" s="193">
        <f>IF(E9*AB36&lt;300,300,E9*AB36)</f>
        <v>300</v>
      </c>
      <c r="AL36" s="56"/>
      <c r="AM36" s="56"/>
      <c r="AN36" s="56"/>
      <c r="AO36" s="56"/>
    </row>
    <row r="37" spans="1:41" ht="15" customHeight="1" thickTop="1">
      <c r="A37" s="48"/>
      <c r="B37" s="48"/>
      <c r="C37" s="48"/>
      <c r="D37" s="48"/>
      <c r="E37" s="48"/>
      <c r="F37" s="48"/>
      <c r="G37" s="48"/>
      <c r="H37" s="48"/>
      <c r="I37" s="48"/>
      <c r="J37" s="48"/>
      <c r="K37" s="48"/>
      <c r="L37" s="48"/>
      <c r="M37" s="48"/>
      <c r="N37" s="48"/>
      <c r="O37" s="48"/>
      <c r="P37" s="48"/>
      <c r="Q37" s="48"/>
      <c r="R37" s="48"/>
      <c r="S37" s="48"/>
      <c r="T37" s="48"/>
      <c r="U37" s="48"/>
      <c r="V37" s="66"/>
      <c r="W37" s="66"/>
      <c r="X37" s="66"/>
      <c r="Y37" s="66"/>
      <c r="Z37" s="66"/>
      <c r="AA37" s="66"/>
      <c r="AB37" s="124"/>
      <c r="AC37" s="66"/>
      <c r="AD37" t="s">
        <v>282</v>
      </c>
      <c r="AE37" s="61" t="s">
        <v>252</v>
      </c>
      <c r="AF37" s="56"/>
      <c r="AG37" s="56"/>
      <c r="AH37" s="61" t="s">
        <v>252</v>
      </c>
      <c r="AI37" s="56"/>
      <c r="AJ37" s="56"/>
      <c r="AK37" s="81" t="s">
        <v>252</v>
      </c>
      <c r="AL37" s="56"/>
      <c r="AM37" s="56"/>
      <c r="AN37" s="56"/>
      <c r="AO37" s="56"/>
    </row>
    <row r="38" spans="1:41" ht="25.5" customHeight="1">
      <c r="A38" s="48"/>
      <c r="B38" s="48"/>
      <c r="C38" s="66" t="s">
        <v>283</v>
      </c>
      <c r="D38" s="66"/>
      <c r="E38" s="66"/>
      <c r="F38" s="66"/>
      <c r="G38" s="66"/>
      <c r="H38" s="66"/>
      <c r="I38" s="66"/>
      <c r="J38" s="66"/>
      <c r="K38" s="66"/>
      <c r="L38" s="66"/>
      <c r="M38" s="66"/>
      <c r="N38" s="69"/>
      <c r="O38" s="55" t="str">
        <f>IF(E4&gt;0,E4,"")</f>
        <v/>
      </c>
      <c r="P38" s="55"/>
      <c r="Q38" s="55"/>
      <c r="R38" s="55"/>
      <c r="S38" s="55"/>
      <c r="T38" s="55"/>
      <c r="U38" s="55"/>
      <c r="V38" s="55"/>
      <c r="W38" s="55"/>
      <c r="X38" s="55"/>
      <c r="Y38" s="55"/>
      <c r="Z38" s="78"/>
      <c r="AA38" s="66"/>
      <c r="AB38" s="129">
        <f>IF(E9=100,AB36,AK36)</f>
        <v>300</v>
      </c>
      <c r="AC38" s="66"/>
      <c r="AE38" s="61" t="s">
        <v>252</v>
      </c>
      <c r="AF38" s="56"/>
      <c r="AG38" s="56"/>
      <c r="AH38" s="56"/>
      <c r="AI38" s="56"/>
      <c r="AJ38" s="56"/>
      <c r="AK38" s="194">
        <f>IF(AB36*E9&lt;300,300,AB36*E9)</f>
        <v>300</v>
      </c>
      <c r="AL38" s="56"/>
      <c r="AM38" s="81"/>
      <c r="AN38" s="81" t="s">
        <v>252</v>
      </c>
      <c r="AO38" s="81" t="s">
        <v>252</v>
      </c>
    </row>
    <row r="39" spans="1:41" ht="9.75" customHeight="1">
      <c r="A39" s="48"/>
      <c r="B39" s="48"/>
      <c r="C39" s="79"/>
      <c r="D39" s="79"/>
      <c r="E39" s="79"/>
      <c r="F39" s="79"/>
      <c r="G39" s="79"/>
      <c r="H39" s="79"/>
      <c r="I39" s="79"/>
      <c r="J39" s="79"/>
      <c r="K39" s="79"/>
      <c r="L39" s="79"/>
      <c r="M39" s="79"/>
      <c r="N39" s="79"/>
      <c r="O39" s="79"/>
      <c r="P39" s="79"/>
      <c r="Q39" s="79"/>
      <c r="R39" s="79"/>
      <c r="S39" s="79"/>
      <c r="T39" s="79"/>
      <c r="U39" s="79"/>
      <c r="V39" s="79"/>
      <c r="W39" s="79"/>
      <c r="X39" s="79"/>
      <c r="Y39" s="79"/>
      <c r="Z39" s="79"/>
      <c r="AA39" s="50"/>
      <c r="AB39" s="130"/>
      <c r="AC39" s="66"/>
      <c r="AD39" s="56"/>
      <c r="AE39" s="56"/>
      <c r="AF39" s="56"/>
      <c r="AG39" s="56"/>
      <c r="AH39" s="56"/>
      <c r="AI39" s="56"/>
      <c r="AJ39" s="56"/>
      <c r="AK39" s="81"/>
      <c r="AL39" s="81" t="s">
        <v>252</v>
      </c>
      <c r="AM39" s="81"/>
      <c r="AN39" s="81" t="s">
        <v>252</v>
      </c>
      <c r="AO39" s="81" t="s">
        <v>252</v>
      </c>
    </row>
    <row r="40" spans="1:41" ht="17.25" customHeight="1">
      <c r="A40" s="48"/>
      <c r="B40" s="48"/>
      <c r="C40" s="362" t="str">
        <f>IF($AD26=0,"",$AD$37)</f>
        <v/>
      </c>
      <c r="D40" s="363"/>
      <c r="E40" s="363"/>
      <c r="F40" s="363"/>
      <c r="G40" s="363"/>
      <c r="H40" s="363"/>
      <c r="I40" s="363"/>
      <c r="J40" s="363"/>
      <c r="K40" s="363"/>
      <c r="L40" s="363"/>
      <c r="M40" s="363"/>
      <c r="N40" s="363"/>
      <c r="O40" s="363"/>
      <c r="P40" s="363"/>
      <c r="Q40" s="363"/>
      <c r="R40" s="363"/>
      <c r="S40" s="363"/>
      <c r="T40" s="363"/>
      <c r="U40" s="363"/>
      <c r="V40" s="363"/>
      <c r="W40" s="363"/>
      <c r="X40" s="363"/>
      <c r="Y40" s="363"/>
      <c r="Z40" s="363"/>
      <c r="AA40" s="50"/>
      <c r="AB40" s="130"/>
      <c r="AC40" s="66"/>
      <c r="AD40" s="56"/>
      <c r="AE40" s="56"/>
      <c r="AF40" s="56"/>
      <c r="AG40" s="56"/>
      <c r="AH40" s="56"/>
      <c r="AI40" s="56"/>
      <c r="AJ40" s="56"/>
      <c r="AK40" s="81"/>
      <c r="AL40" s="81" t="s">
        <v>252</v>
      </c>
      <c r="AM40" s="81" t="s">
        <v>252</v>
      </c>
      <c r="AN40" s="81" t="s">
        <v>252</v>
      </c>
      <c r="AO40" s="81" t="s">
        <v>252</v>
      </c>
    </row>
    <row r="41" spans="1:41" ht="17.25" customHeight="1">
      <c r="A41" s="48"/>
      <c r="B41" s="48"/>
      <c r="C41" s="363"/>
      <c r="D41" s="363"/>
      <c r="E41" s="363"/>
      <c r="F41" s="363"/>
      <c r="G41" s="363"/>
      <c r="H41" s="363"/>
      <c r="I41" s="363"/>
      <c r="J41" s="363"/>
      <c r="K41" s="363"/>
      <c r="L41" s="363"/>
      <c r="M41" s="363"/>
      <c r="N41" s="363"/>
      <c r="O41" s="363"/>
      <c r="P41" s="363"/>
      <c r="Q41" s="363"/>
      <c r="R41" s="363"/>
      <c r="S41" s="363"/>
      <c r="T41" s="363"/>
      <c r="U41" s="363"/>
      <c r="V41" s="363"/>
      <c r="W41" s="363"/>
      <c r="X41" s="363"/>
      <c r="Y41" s="363"/>
      <c r="Z41" s="363"/>
      <c r="AA41" s="50"/>
      <c r="AB41" s="130"/>
      <c r="AC41" s="66"/>
      <c r="AD41" s="44">
        <f>IF(Sammandrag!AB38&gt;0,Sammandrag!$AB$38,Sammandrag!$AD$33)</f>
        <v>300</v>
      </c>
      <c r="AE41" s="56"/>
      <c r="AF41" s="56"/>
      <c r="AG41" s="56"/>
      <c r="AH41" s="56"/>
      <c r="AI41" s="56"/>
      <c r="AJ41" s="56"/>
      <c r="AK41" s="81" t="s">
        <v>252</v>
      </c>
      <c r="AL41" s="81" t="s">
        <v>252</v>
      </c>
      <c r="AM41" s="81" t="s">
        <v>252</v>
      </c>
      <c r="AN41" s="81" t="s">
        <v>252</v>
      </c>
      <c r="AO41" s="81" t="s">
        <v>252</v>
      </c>
    </row>
    <row r="42" spans="1:41" ht="17.25" customHeight="1">
      <c r="A42" s="48"/>
      <c r="B42" s="48"/>
      <c r="C42" s="363"/>
      <c r="D42" s="363"/>
      <c r="E42" s="363"/>
      <c r="F42" s="363"/>
      <c r="G42" s="363"/>
      <c r="H42" s="363"/>
      <c r="I42" s="363"/>
      <c r="J42" s="363"/>
      <c r="K42" s="363"/>
      <c r="L42" s="363"/>
      <c r="M42" s="363"/>
      <c r="N42" s="363"/>
      <c r="O42" s="363"/>
      <c r="P42" s="363"/>
      <c r="Q42" s="363"/>
      <c r="R42" s="363"/>
      <c r="S42" s="363"/>
      <c r="T42" s="363"/>
      <c r="U42" s="363"/>
      <c r="V42" s="363"/>
      <c r="W42" s="363"/>
      <c r="X42" s="363"/>
      <c r="Y42" s="363"/>
      <c r="Z42" s="363"/>
      <c r="AA42" s="50"/>
      <c r="AB42" s="130"/>
      <c r="AC42" s="66"/>
      <c r="AD42" s="56"/>
      <c r="AE42" s="56"/>
      <c r="AF42" s="56"/>
      <c r="AG42" s="56"/>
      <c r="AH42" s="56"/>
      <c r="AI42" s="56"/>
      <c r="AJ42" s="56"/>
      <c r="AK42" s="81" t="s">
        <v>252</v>
      </c>
      <c r="AL42" s="81" t="s">
        <v>252</v>
      </c>
      <c r="AM42" s="81" t="s">
        <v>252</v>
      </c>
      <c r="AN42" s="81" t="s">
        <v>252</v>
      </c>
      <c r="AO42" s="81" t="s">
        <v>252</v>
      </c>
    </row>
    <row r="43" spans="1:41" ht="17.25" customHeight="1">
      <c r="A43" s="48"/>
      <c r="B43" s="48"/>
      <c r="C43" s="48"/>
      <c r="D43" s="48"/>
      <c r="E43" s="48"/>
      <c r="F43" s="48"/>
      <c r="G43" s="48"/>
      <c r="H43" s="48"/>
      <c r="I43" s="48"/>
      <c r="J43" s="48"/>
      <c r="K43" s="48"/>
      <c r="L43" s="48"/>
      <c r="M43" s="48"/>
      <c r="N43" s="48"/>
      <c r="O43" s="48"/>
      <c r="P43" s="48"/>
      <c r="Q43" s="48"/>
      <c r="R43" s="48"/>
      <c r="S43" s="48"/>
      <c r="T43" s="48"/>
      <c r="U43" s="48"/>
      <c r="V43" s="48" t="s">
        <v>284</v>
      </c>
      <c r="W43" s="48"/>
      <c r="X43" s="491"/>
      <c r="Y43" s="492"/>
      <c r="Z43" s="492"/>
      <c r="AA43" s="50"/>
      <c r="AB43" s="130"/>
      <c r="AC43" s="66"/>
      <c r="AD43" s="56"/>
      <c r="AE43" s="56"/>
      <c r="AF43" s="56"/>
      <c r="AG43" s="56"/>
      <c r="AH43" s="56"/>
      <c r="AI43" s="56"/>
      <c r="AJ43" s="56"/>
      <c r="AK43" s="56"/>
      <c r="AL43" s="56"/>
      <c r="AM43" s="56"/>
      <c r="AN43" s="56"/>
      <c r="AO43" s="56"/>
    </row>
    <row r="44" spans="1:41" ht="17.25" customHeight="1">
      <c r="A44" s="48"/>
      <c r="B44" s="48"/>
      <c r="C44" s="223" t="s">
        <v>285</v>
      </c>
      <c r="D44" s="50"/>
      <c r="E44" s="50"/>
      <c r="F44" s="50"/>
      <c r="G44" s="50"/>
      <c r="H44" s="221"/>
      <c r="I44" s="48"/>
      <c r="J44" s="48"/>
      <c r="K44" s="48"/>
      <c r="L44" s="48"/>
      <c r="M44" s="48"/>
      <c r="N44" s="48"/>
      <c r="O44" s="48"/>
      <c r="P44" s="48"/>
      <c r="Q44" s="48"/>
      <c r="R44" s="48"/>
      <c r="S44" s="48"/>
      <c r="T44" s="48"/>
      <c r="U44" s="48"/>
      <c r="V44" s="80" t="s">
        <v>286</v>
      </c>
      <c r="W44" s="130"/>
      <c r="X44" s="130"/>
      <c r="Y44" s="130"/>
      <c r="Z44" s="130"/>
      <c r="AA44" s="50"/>
      <c r="AB44" s="130"/>
      <c r="AC44" s="66"/>
      <c r="AD44" s="56"/>
      <c r="AE44" s="56"/>
      <c r="AF44" s="56"/>
      <c r="AG44" s="56"/>
      <c r="AH44" s="56"/>
      <c r="AI44" s="56"/>
      <c r="AJ44" s="56"/>
      <c r="AK44" s="56"/>
      <c r="AL44" s="56"/>
      <c r="AM44" s="56"/>
      <c r="AN44" s="56"/>
      <c r="AO44" s="56"/>
    </row>
    <row r="45" spans="1:41" ht="17.25" customHeight="1">
      <c r="A45" s="48"/>
      <c r="B45" s="48"/>
      <c r="C45" s="493"/>
      <c r="D45" s="494"/>
      <c r="E45" s="494"/>
      <c r="F45" s="494"/>
      <c r="G45" s="494"/>
      <c r="H45" s="494"/>
      <c r="I45" s="494"/>
      <c r="J45" s="494"/>
      <c r="K45" s="494"/>
      <c r="L45" s="494"/>
      <c r="M45" s="494"/>
      <c r="N45" s="494"/>
      <c r="O45" s="494"/>
      <c r="P45" s="494"/>
      <c r="Q45" s="494"/>
      <c r="R45" s="48"/>
      <c r="S45" s="48"/>
      <c r="T45" s="48"/>
      <c r="U45" s="48"/>
      <c r="V45" s="495"/>
      <c r="W45" s="496"/>
      <c r="X45" s="496"/>
      <c r="Y45" s="496"/>
      <c r="Z45" s="496"/>
      <c r="AA45" s="496"/>
      <c r="AB45" s="130"/>
      <c r="AC45" s="66"/>
      <c r="AD45" s="56"/>
      <c r="AE45" s="56"/>
      <c r="AF45" s="56"/>
      <c r="AG45" s="56"/>
      <c r="AH45" s="56"/>
      <c r="AI45" s="56"/>
      <c r="AJ45" s="56"/>
      <c r="AK45" s="56"/>
      <c r="AL45" s="56"/>
      <c r="AM45" s="56"/>
      <c r="AN45" s="56"/>
      <c r="AO45" s="56"/>
    </row>
    <row r="46" spans="1:41" ht="17.25" customHeight="1">
      <c r="A46" s="48"/>
      <c r="B46" s="48"/>
      <c r="C46" s="497" t="str">
        <f>IF(E4&gt;0,E4,"")</f>
        <v/>
      </c>
      <c r="D46" s="497"/>
      <c r="E46" s="497"/>
      <c r="F46" s="497"/>
      <c r="G46" s="497"/>
      <c r="H46" s="497"/>
      <c r="I46" s="497"/>
      <c r="J46" s="497"/>
      <c r="K46" s="497"/>
      <c r="L46" s="497"/>
      <c r="M46" s="497"/>
      <c r="N46" s="497"/>
      <c r="O46" s="497"/>
      <c r="P46" s="497"/>
      <c r="Q46" s="497"/>
      <c r="R46" s="48"/>
      <c r="S46" s="48"/>
      <c r="T46" s="48"/>
      <c r="U46" s="50"/>
      <c r="V46" s="303"/>
      <c r="W46" s="304"/>
      <c r="X46" s="304"/>
      <c r="Y46" s="304"/>
      <c r="Z46" s="304"/>
      <c r="AA46" s="304"/>
      <c r="AB46" s="50"/>
      <c r="AC46" s="66"/>
      <c r="AD46" s="56"/>
      <c r="AE46" s="56"/>
      <c r="AF46" s="56"/>
      <c r="AG46" s="56"/>
      <c r="AH46" s="56"/>
      <c r="AI46" s="56"/>
      <c r="AJ46" s="56"/>
      <c r="AK46" s="56"/>
      <c r="AL46" s="56"/>
      <c r="AM46" s="56"/>
      <c r="AN46" s="56"/>
      <c r="AO46" s="56"/>
    </row>
    <row r="47" spans="1:41" ht="17.25" customHeight="1">
      <c r="A47" s="48"/>
      <c r="B47" s="48"/>
      <c r="C47" s="223"/>
      <c r="D47" s="48"/>
      <c r="E47" s="48"/>
      <c r="F47" s="48"/>
      <c r="G47" s="48"/>
      <c r="H47" s="48"/>
      <c r="I47" s="48"/>
      <c r="J47" s="48"/>
      <c r="K47" s="48"/>
      <c r="L47" s="48"/>
      <c r="M47" s="48"/>
      <c r="N47" s="48"/>
      <c r="O47" s="48"/>
      <c r="P47" s="48"/>
      <c r="Q47" s="48"/>
      <c r="R47" s="48"/>
      <c r="S47" s="48"/>
      <c r="T47" s="48"/>
      <c r="U47" s="66" t="s">
        <v>287</v>
      </c>
      <c r="V47" s="360"/>
      <c r="W47" s="361"/>
      <c r="X47" s="361"/>
      <c r="Y47" s="361"/>
      <c r="Z47" s="361"/>
      <c r="AA47" s="361"/>
      <c r="AB47" s="50"/>
      <c r="AC47" s="66"/>
      <c r="AD47" s="56"/>
      <c r="AE47" s="56"/>
      <c r="AF47" s="56"/>
      <c r="AG47" s="56"/>
      <c r="AH47" s="56"/>
      <c r="AI47" s="56"/>
      <c r="AJ47" s="56"/>
      <c r="AK47" s="56"/>
      <c r="AL47" s="56"/>
      <c r="AM47" s="56"/>
      <c r="AN47" s="56"/>
      <c r="AO47" s="56"/>
    </row>
    <row r="48" spans="1:41" ht="17.25" customHeight="1">
      <c r="A48" s="48"/>
      <c r="B48" s="48"/>
      <c r="C48" s="50"/>
      <c r="D48" s="50"/>
      <c r="E48" s="50"/>
      <c r="F48" s="50"/>
      <c r="G48" s="50"/>
      <c r="H48" s="50"/>
      <c r="I48" s="50"/>
      <c r="J48" s="50"/>
      <c r="K48" s="50"/>
      <c r="L48" s="50"/>
      <c r="M48" s="50"/>
      <c r="N48" s="50"/>
      <c r="O48" s="50"/>
      <c r="P48" s="50"/>
      <c r="Q48" s="50"/>
      <c r="R48" s="48"/>
      <c r="S48" s="48"/>
      <c r="T48" s="48"/>
      <c r="U48" s="66" t="s">
        <v>288</v>
      </c>
      <c r="V48" s="498"/>
      <c r="W48" s="499"/>
      <c r="X48" s="499"/>
      <c r="Y48" s="499"/>
      <c r="Z48" s="499"/>
      <c r="AA48" s="499"/>
      <c r="AB48" s="50"/>
      <c r="AC48" s="66"/>
      <c r="AD48" s="56"/>
      <c r="AE48" s="56"/>
      <c r="AF48" s="56"/>
      <c r="AG48" s="56"/>
      <c r="AH48" s="56"/>
      <c r="AI48" s="56"/>
      <c r="AJ48" s="56"/>
      <c r="AK48" s="56"/>
      <c r="AL48" s="56"/>
      <c r="AM48" s="56"/>
      <c r="AN48" s="56"/>
      <c r="AO48" s="56"/>
    </row>
    <row r="49" spans="1:41" ht="17.45" customHeight="1">
      <c r="A49" s="48"/>
      <c r="B49" s="50"/>
      <c r="C49" s="50"/>
      <c r="D49" s="50"/>
      <c r="E49" s="50"/>
      <c r="F49" s="50"/>
      <c r="G49" s="50"/>
      <c r="H49" s="50"/>
      <c r="I49" s="50"/>
      <c r="J49" s="50"/>
      <c r="K49" s="50"/>
      <c r="L49" s="50"/>
      <c r="M49" s="50"/>
      <c r="N49" s="50"/>
      <c r="O49" s="50"/>
      <c r="P49" s="50"/>
      <c r="Q49" s="50"/>
      <c r="R49" s="50"/>
      <c r="S49" s="50"/>
      <c r="T49" s="50"/>
      <c r="U49" s="50"/>
      <c r="V49" s="66"/>
      <c r="W49" s="50"/>
      <c r="X49" s="50"/>
      <c r="Y49" s="50"/>
      <c r="Z49" s="50"/>
      <c r="AA49" s="50"/>
      <c r="AB49" s="50"/>
      <c r="AC49" s="50"/>
      <c r="AD49" s="56"/>
      <c r="AE49" s="56"/>
      <c r="AF49" s="56"/>
      <c r="AG49" s="56"/>
      <c r="AH49" s="56"/>
      <c r="AI49" s="56"/>
      <c r="AJ49" s="56"/>
      <c r="AK49" s="56"/>
      <c r="AL49" s="56"/>
      <c r="AM49" s="56"/>
      <c r="AN49" s="56"/>
      <c r="AO49" s="56"/>
    </row>
    <row r="50" spans="1:41">
      <c r="A50" s="56"/>
      <c r="B50" s="56"/>
      <c r="C50" s="56"/>
      <c r="D50" s="56"/>
      <c r="E50" s="56"/>
      <c r="F50" s="56"/>
      <c r="G50" s="56"/>
      <c r="H50" s="56"/>
      <c r="I50" s="56"/>
      <c r="J50" s="56"/>
      <c r="K50" s="56"/>
      <c r="L50" s="56"/>
      <c r="M50" s="56"/>
      <c r="N50" s="56"/>
      <c r="O50" s="56"/>
      <c r="P50" s="56"/>
      <c r="Q50" s="56"/>
      <c r="R50" s="56"/>
      <c r="S50" s="56"/>
      <c r="T50" s="56"/>
      <c r="U50" s="56"/>
      <c r="V50" s="56"/>
      <c r="W50" s="56"/>
      <c r="X50" s="56"/>
      <c r="Y50" s="56"/>
      <c r="Z50" s="56"/>
      <c r="AA50" s="56"/>
      <c r="AB50" s="131"/>
      <c r="AC50" s="56"/>
      <c r="AD50" s="56"/>
      <c r="AE50" s="56"/>
      <c r="AF50" s="56"/>
      <c r="AG50" s="56"/>
      <c r="AH50" s="56"/>
      <c r="AI50" s="56"/>
      <c r="AJ50" s="56"/>
      <c r="AK50" s="56"/>
      <c r="AL50" s="56"/>
      <c r="AM50" s="56"/>
      <c r="AN50" s="56"/>
      <c r="AO50" s="56"/>
    </row>
    <row r="51" spans="1:41">
      <c r="A51" s="56"/>
      <c r="B51" s="56"/>
      <c r="C51" s="56"/>
      <c r="D51" s="56"/>
      <c r="E51" s="56"/>
      <c r="F51" s="56"/>
      <c r="G51" s="56"/>
      <c r="H51" s="56"/>
      <c r="I51" s="56"/>
      <c r="J51" s="56"/>
      <c r="K51" s="56"/>
      <c r="L51" s="56"/>
      <c r="M51" s="56"/>
      <c r="N51" s="56"/>
      <c r="O51" s="56"/>
      <c r="P51" s="56"/>
      <c r="Q51" s="56"/>
      <c r="R51" s="56"/>
      <c r="S51" s="56"/>
      <c r="T51" s="56"/>
      <c r="U51" s="56"/>
      <c r="V51" s="56"/>
      <c r="W51" s="56"/>
      <c r="X51" s="56"/>
      <c r="Y51" s="56"/>
      <c r="Z51" s="56"/>
      <c r="AA51" s="56"/>
      <c r="AB51" s="131"/>
      <c r="AC51" s="56"/>
      <c r="AD51" s="56"/>
      <c r="AE51" s="56"/>
      <c r="AF51" s="56"/>
      <c r="AG51" s="56"/>
      <c r="AH51" s="56"/>
      <c r="AI51" s="56"/>
      <c r="AJ51" s="56"/>
      <c r="AK51" s="56"/>
      <c r="AL51" s="56"/>
      <c r="AM51" s="56"/>
      <c r="AN51" s="56"/>
      <c r="AO51" s="56"/>
    </row>
    <row r="52" spans="1:41">
      <c r="A52" s="56"/>
      <c r="B52" s="56"/>
      <c r="C52" s="56"/>
      <c r="D52" s="56"/>
      <c r="E52" s="56"/>
      <c r="F52" s="56"/>
      <c r="G52" s="56"/>
      <c r="H52" s="56"/>
      <c r="I52" s="56"/>
      <c r="J52" s="56"/>
      <c r="K52" s="56"/>
      <c r="L52" s="56"/>
      <c r="M52" s="56"/>
      <c r="N52" s="56"/>
      <c r="O52" s="56"/>
      <c r="P52" s="56"/>
      <c r="Q52" s="56"/>
      <c r="R52" s="56"/>
      <c r="S52" s="56"/>
      <c r="T52" s="56"/>
      <c r="U52" s="56"/>
      <c r="V52" s="56"/>
      <c r="W52" s="56"/>
      <c r="X52" s="56"/>
      <c r="Y52" s="56"/>
      <c r="Z52" s="56"/>
      <c r="AA52" s="56"/>
      <c r="AB52" s="131"/>
      <c r="AC52" s="56"/>
      <c r="AD52" s="56"/>
      <c r="AE52" s="56"/>
      <c r="AF52" s="56"/>
      <c r="AG52" s="56"/>
      <c r="AH52" s="56"/>
      <c r="AI52" s="56"/>
      <c r="AJ52" s="56"/>
      <c r="AK52" s="56"/>
      <c r="AL52" s="56"/>
      <c r="AM52" s="56"/>
      <c r="AN52" s="56"/>
      <c r="AO52" s="56"/>
    </row>
    <row r="53" spans="1:41">
      <c r="A53" s="56"/>
      <c r="B53" s="56"/>
      <c r="C53" s="56"/>
      <c r="D53" s="56"/>
      <c r="E53" s="56"/>
      <c r="F53" s="56"/>
      <c r="G53" s="56"/>
      <c r="H53" s="56"/>
      <c r="I53" s="56"/>
      <c r="J53" s="56"/>
      <c r="K53" s="56"/>
      <c r="L53" s="56"/>
      <c r="M53" s="56"/>
      <c r="N53" s="56"/>
      <c r="O53" s="56"/>
      <c r="P53" s="56"/>
      <c r="Q53" s="56"/>
      <c r="R53" s="56"/>
      <c r="S53" s="56"/>
      <c r="T53" s="56"/>
      <c r="U53" s="56"/>
      <c r="V53" s="56"/>
      <c r="W53" s="56"/>
      <c r="X53" s="56"/>
      <c r="Y53" s="56"/>
      <c r="Z53" s="56"/>
      <c r="AA53" s="56"/>
      <c r="AB53" s="131"/>
      <c r="AC53" s="56"/>
      <c r="AD53" s="56"/>
      <c r="AE53" s="56"/>
      <c r="AF53" s="56"/>
      <c r="AG53" s="56"/>
      <c r="AH53" s="56"/>
      <c r="AI53" s="56"/>
      <c r="AJ53" s="56"/>
      <c r="AK53" s="56"/>
      <c r="AL53" s="56"/>
      <c r="AM53" s="56"/>
      <c r="AN53" s="56"/>
      <c r="AO53" s="56"/>
    </row>
    <row r="54" spans="1:41">
      <c r="A54" s="56"/>
      <c r="B54" s="56"/>
      <c r="C54" s="56"/>
      <c r="D54" s="56"/>
      <c r="E54" s="56"/>
      <c r="F54" s="56"/>
      <c r="G54" s="56"/>
      <c r="H54" s="56"/>
      <c r="I54" s="56"/>
      <c r="J54" s="56"/>
      <c r="K54" s="56"/>
      <c r="L54" s="56"/>
      <c r="M54" s="56"/>
      <c r="N54" s="56"/>
      <c r="O54" s="56"/>
      <c r="P54" s="56"/>
      <c r="Q54" s="56"/>
      <c r="R54" s="56"/>
      <c r="S54" s="56"/>
      <c r="T54" s="56"/>
      <c r="U54" s="56"/>
      <c r="V54" s="56"/>
      <c r="W54" s="56"/>
      <c r="X54" s="56"/>
      <c r="Y54" s="56"/>
      <c r="Z54" s="56"/>
      <c r="AA54" s="56"/>
      <c r="AB54" s="131"/>
      <c r="AC54" s="56"/>
      <c r="AD54" s="56"/>
      <c r="AE54" s="56"/>
      <c r="AF54" s="56"/>
      <c r="AG54" s="56"/>
      <c r="AH54" s="56"/>
      <c r="AI54" s="56"/>
      <c r="AJ54" s="56"/>
      <c r="AK54" s="56"/>
      <c r="AL54" s="56"/>
      <c r="AM54" s="56"/>
      <c r="AN54" s="56"/>
      <c r="AO54" s="56"/>
    </row>
    <row r="55" spans="1:41">
      <c r="A55" s="56"/>
      <c r="B55" s="56"/>
      <c r="C55" s="56"/>
      <c r="D55" s="56"/>
      <c r="E55" s="56"/>
      <c r="F55" s="56"/>
      <c r="G55" s="56"/>
      <c r="H55" s="56"/>
      <c r="I55" s="56"/>
      <c r="J55" s="56"/>
      <c r="K55" s="56"/>
      <c r="L55" s="56"/>
      <c r="M55" s="56"/>
      <c r="N55" s="56"/>
      <c r="O55" s="56"/>
      <c r="P55" s="56"/>
      <c r="Q55" s="56"/>
      <c r="R55" s="56"/>
      <c r="S55" s="56"/>
      <c r="T55" s="56"/>
      <c r="U55" s="56"/>
      <c r="V55" s="56"/>
      <c r="W55" s="56"/>
      <c r="X55" s="56"/>
      <c r="Y55" s="56"/>
      <c r="Z55" s="56"/>
      <c r="AA55" s="56"/>
      <c r="AB55" s="131"/>
      <c r="AC55" s="56"/>
      <c r="AD55" s="56"/>
      <c r="AE55" s="56"/>
      <c r="AF55" s="56"/>
      <c r="AG55" s="56"/>
      <c r="AH55" s="56"/>
      <c r="AI55" s="56"/>
      <c r="AJ55" s="56"/>
      <c r="AK55" s="56"/>
      <c r="AL55" s="56"/>
      <c r="AM55" s="56"/>
      <c r="AN55" s="56"/>
      <c r="AO55" s="56"/>
    </row>
    <row r="56" spans="1:41">
      <c r="A56" s="56"/>
      <c r="B56" s="56"/>
      <c r="C56" s="56"/>
      <c r="D56" s="56"/>
      <c r="E56" s="56"/>
      <c r="F56" s="56"/>
      <c r="G56" s="56"/>
      <c r="H56" s="56"/>
      <c r="I56" s="56"/>
      <c r="J56" s="56"/>
      <c r="K56" s="56"/>
      <c r="L56" s="56"/>
      <c r="M56" s="56"/>
      <c r="N56" s="56"/>
      <c r="O56" s="56"/>
      <c r="P56" s="56"/>
      <c r="Q56" s="56"/>
      <c r="R56" s="56"/>
      <c r="S56" s="56"/>
      <c r="T56" s="56"/>
      <c r="U56" s="56"/>
      <c r="V56" s="56"/>
      <c r="W56" s="56"/>
      <c r="X56" s="56"/>
      <c r="Y56" s="56"/>
      <c r="Z56" s="56"/>
      <c r="AA56" s="56"/>
      <c r="AB56" s="131"/>
      <c r="AC56" s="56"/>
      <c r="AD56" s="56"/>
      <c r="AE56" s="56"/>
      <c r="AF56" s="56"/>
      <c r="AG56" s="56"/>
      <c r="AH56" s="56"/>
      <c r="AI56" s="56"/>
      <c r="AJ56" s="56"/>
      <c r="AK56" s="56"/>
      <c r="AL56" s="56"/>
      <c r="AM56" s="56"/>
      <c r="AN56" s="56"/>
      <c r="AO56" s="56"/>
    </row>
    <row r="57" spans="1:41">
      <c r="A57" s="56"/>
      <c r="B57" s="56"/>
      <c r="C57" s="56"/>
      <c r="D57" s="56"/>
      <c r="E57" s="56"/>
      <c r="F57" s="56"/>
      <c r="G57" s="56"/>
      <c r="H57" s="56"/>
      <c r="I57" s="56"/>
      <c r="J57" s="56"/>
      <c r="K57" s="56"/>
      <c r="L57" s="56"/>
      <c r="M57" s="56"/>
      <c r="N57" s="56"/>
      <c r="O57" s="56"/>
      <c r="P57" s="56"/>
      <c r="Q57" s="56"/>
      <c r="R57" s="56"/>
      <c r="S57" s="56"/>
      <c r="T57" s="56"/>
      <c r="U57" s="56"/>
      <c r="V57" s="56"/>
      <c r="W57" s="56"/>
      <c r="X57" s="56"/>
      <c r="Y57" s="56"/>
      <c r="Z57" s="56"/>
      <c r="AA57" s="56"/>
      <c r="AB57" s="131"/>
      <c r="AC57" s="56"/>
      <c r="AD57" s="56"/>
      <c r="AE57" s="56"/>
      <c r="AF57" s="56"/>
      <c r="AG57" s="56"/>
      <c r="AH57" s="56"/>
      <c r="AI57" s="56"/>
      <c r="AJ57" s="56"/>
      <c r="AK57" s="56"/>
      <c r="AL57" s="56"/>
      <c r="AM57" s="56"/>
      <c r="AN57" s="56"/>
      <c r="AO57" s="56"/>
    </row>
    <row r="58" spans="1:41">
      <c r="A58" s="56"/>
      <c r="B58" s="56"/>
      <c r="C58" s="56"/>
      <c r="D58" s="56"/>
      <c r="E58" s="56"/>
      <c r="F58" s="56"/>
      <c r="G58" s="56"/>
      <c r="H58" s="56"/>
      <c r="I58" s="56"/>
      <c r="J58" s="56"/>
      <c r="K58" s="56"/>
      <c r="L58" s="56"/>
      <c r="M58" s="56"/>
      <c r="N58" s="56"/>
      <c r="O58" s="56"/>
      <c r="P58" s="56"/>
      <c r="Q58" s="56"/>
      <c r="R58" s="56"/>
      <c r="S58" s="56"/>
      <c r="T58" s="56"/>
      <c r="U58" s="56"/>
      <c r="V58" s="56"/>
      <c r="W58" s="56"/>
      <c r="X58" s="56"/>
      <c r="Y58" s="56"/>
      <c r="Z58" s="56"/>
      <c r="AA58" s="56"/>
      <c r="AB58" s="131"/>
      <c r="AC58" s="56"/>
      <c r="AD58" s="56"/>
      <c r="AE58" s="56"/>
      <c r="AF58" s="56"/>
      <c r="AG58" s="56"/>
      <c r="AH58" s="56"/>
      <c r="AI58" s="56"/>
      <c r="AJ58" s="56"/>
      <c r="AK58" s="56"/>
      <c r="AL58" s="56"/>
      <c r="AM58" s="56"/>
      <c r="AN58" s="56"/>
      <c r="AO58" s="56"/>
    </row>
    <row r="59" spans="1:41">
      <c r="A59" s="56"/>
      <c r="B59" s="56"/>
      <c r="C59" s="56"/>
      <c r="D59" s="56"/>
      <c r="E59" s="56"/>
      <c r="F59" s="56"/>
      <c r="G59" s="56"/>
      <c r="H59" s="56"/>
      <c r="I59" s="56"/>
      <c r="J59" s="56"/>
      <c r="K59" s="56"/>
      <c r="L59" s="56"/>
      <c r="M59" s="56"/>
      <c r="N59" s="56"/>
      <c r="O59" s="56"/>
      <c r="P59" s="56"/>
      <c r="Q59" s="56"/>
      <c r="R59" s="56"/>
      <c r="S59" s="56"/>
      <c r="T59" s="56"/>
      <c r="U59" s="56"/>
      <c r="V59" s="56"/>
      <c r="W59" s="56"/>
      <c r="X59" s="56"/>
      <c r="Y59" s="56"/>
      <c r="Z59" s="56"/>
      <c r="AA59" s="56"/>
      <c r="AB59" s="131"/>
      <c r="AC59" s="56"/>
      <c r="AD59" s="56"/>
      <c r="AE59" s="56"/>
      <c r="AF59" s="56"/>
      <c r="AG59" s="56"/>
      <c r="AH59" s="56"/>
      <c r="AI59" s="56"/>
      <c r="AJ59" s="56"/>
      <c r="AK59" s="56"/>
      <c r="AL59" s="56"/>
      <c r="AM59" s="56"/>
      <c r="AN59" s="56"/>
      <c r="AO59" s="56"/>
    </row>
    <row r="60" spans="1:41">
      <c r="A60" s="56"/>
      <c r="B60" s="56"/>
      <c r="C60" s="56"/>
      <c r="D60" s="56"/>
      <c r="E60" s="56"/>
      <c r="F60" s="56"/>
      <c r="G60" s="56"/>
      <c r="H60" s="56"/>
      <c r="I60" s="56"/>
      <c r="J60" s="56"/>
      <c r="K60" s="56"/>
      <c r="L60" s="56"/>
      <c r="M60" s="56"/>
      <c r="N60" s="56"/>
      <c r="O60" s="56"/>
      <c r="P60" s="56"/>
      <c r="Q60" s="56"/>
      <c r="R60" s="56"/>
      <c r="S60" s="56"/>
      <c r="T60" s="56"/>
      <c r="U60" s="56"/>
      <c r="V60" s="56"/>
      <c r="W60" s="56"/>
      <c r="X60" s="56"/>
      <c r="Y60" s="56"/>
      <c r="Z60" s="56"/>
      <c r="AA60" s="56"/>
      <c r="AB60" s="131"/>
      <c r="AC60" s="56"/>
      <c r="AD60" s="56"/>
      <c r="AE60" s="56"/>
      <c r="AF60" s="56"/>
      <c r="AG60" s="56"/>
      <c r="AH60" s="56"/>
      <c r="AI60" s="56"/>
      <c r="AJ60" s="56"/>
      <c r="AK60" s="56"/>
      <c r="AL60" s="56"/>
      <c r="AM60" s="56"/>
      <c r="AN60" s="56"/>
      <c r="AO60" s="56"/>
    </row>
    <row r="61" spans="1:41">
      <c r="A61" s="56"/>
      <c r="B61" s="56"/>
      <c r="C61" s="56"/>
      <c r="D61" s="56"/>
      <c r="E61" s="56"/>
      <c r="F61" s="56"/>
      <c r="G61" s="56"/>
      <c r="H61" s="56"/>
      <c r="I61" s="56"/>
      <c r="J61" s="56"/>
      <c r="K61" s="56"/>
      <c r="L61" s="56"/>
      <c r="M61" s="56"/>
      <c r="N61" s="56"/>
      <c r="O61" s="56"/>
      <c r="P61" s="56"/>
      <c r="Q61" s="56"/>
      <c r="R61" s="56"/>
      <c r="S61" s="56"/>
      <c r="T61" s="56"/>
      <c r="U61" s="56"/>
      <c r="V61" s="56"/>
      <c r="W61" s="56"/>
      <c r="X61" s="56"/>
      <c r="Y61" s="56"/>
      <c r="Z61" s="56"/>
      <c r="AA61" s="56"/>
      <c r="AB61" s="131"/>
      <c r="AC61" s="56"/>
      <c r="AD61" s="56"/>
      <c r="AE61" s="56"/>
      <c r="AF61" s="56"/>
      <c r="AG61" s="56"/>
      <c r="AH61" s="56"/>
      <c r="AI61" s="56"/>
      <c r="AJ61" s="56"/>
      <c r="AK61" s="56"/>
      <c r="AL61" s="56"/>
      <c r="AM61" s="56"/>
      <c r="AN61" s="56"/>
      <c r="AO61" s="56"/>
    </row>
    <row r="62" spans="1:41">
      <c r="A62" s="56"/>
      <c r="B62" s="56"/>
      <c r="C62" s="56"/>
      <c r="D62" s="56"/>
      <c r="E62" s="56"/>
      <c r="F62" s="56"/>
      <c r="G62" s="56"/>
      <c r="H62" s="56"/>
      <c r="I62" s="56"/>
      <c r="J62" s="56"/>
      <c r="K62" s="56"/>
      <c r="L62" s="56"/>
      <c r="M62" s="56"/>
      <c r="N62" s="56"/>
      <c r="O62" s="56"/>
      <c r="P62" s="56"/>
      <c r="Q62" s="56"/>
      <c r="R62" s="56"/>
      <c r="S62" s="56"/>
      <c r="T62" s="56"/>
      <c r="U62" s="56"/>
      <c r="V62" s="56"/>
      <c r="W62" s="56"/>
      <c r="X62" s="56"/>
      <c r="Y62" s="56"/>
      <c r="Z62" s="56"/>
      <c r="AA62" s="56"/>
      <c r="AB62" s="131"/>
      <c r="AC62" s="56"/>
      <c r="AD62" s="56"/>
      <c r="AE62" s="56"/>
      <c r="AF62" s="56"/>
      <c r="AG62" s="56"/>
      <c r="AH62" s="56"/>
      <c r="AI62" s="56"/>
      <c r="AJ62" s="56"/>
      <c r="AK62" s="56"/>
      <c r="AL62" s="56"/>
      <c r="AM62" s="56"/>
      <c r="AN62" s="56"/>
      <c r="AO62" s="56"/>
    </row>
    <row r="63" spans="1:41">
      <c r="A63" s="56"/>
      <c r="B63" s="56"/>
      <c r="C63" s="56"/>
      <c r="D63" s="56"/>
      <c r="E63" s="56"/>
      <c r="F63" s="56"/>
      <c r="G63" s="56"/>
      <c r="H63" s="56"/>
      <c r="I63" s="56"/>
      <c r="J63" s="56"/>
      <c r="K63" s="56"/>
      <c r="L63" s="56"/>
      <c r="M63" s="56"/>
      <c r="N63" s="56"/>
      <c r="O63" s="56"/>
      <c r="P63" s="56"/>
      <c r="Q63" s="56"/>
      <c r="R63" s="56"/>
      <c r="S63" s="56"/>
      <c r="T63" s="56"/>
      <c r="U63" s="56"/>
      <c r="V63" s="56"/>
      <c r="W63" s="56"/>
      <c r="X63" s="56"/>
      <c r="Y63" s="56"/>
      <c r="Z63" s="56"/>
      <c r="AA63" s="56"/>
      <c r="AB63" s="131"/>
      <c r="AC63" s="56"/>
      <c r="AD63" s="56"/>
      <c r="AE63" s="56"/>
      <c r="AF63" s="56"/>
      <c r="AG63" s="56"/>
      <c r="AH63" s="56"/>
      <c r="AI63" s="56"/>
      <c r="AJ63" s="56"/>
      <c r="AK63" s="56"/>
      <c r="AL63" s="56"/>
      <c r="AM63" s="56"/>
      <c r="AN63" s="56"/>
      <c r="AO63" s="56"/>
    </row>
    <row r="64" spans="1:41">
      <c r="A64" s="56"/>
      <c r="B64" s="56"/>
      <c r="C64" s="56"/>
      <c r="D64" s="56"/>
      <c r="E64" s="56"/>
      <c r="F64" s="56"/>
      <c r="G64" s="56"/>
      <c r="H64" s="56"/>
      <c r="I64" s="56"/>
      <c r="J64" s="56"/>
      <c r="K64" s="56"/>
      <c r="L64" s="56"/>
      <c r="M64" s="56"/>
      <c r="N64" s="56"/>
      <c r="O64" s="56"/>
      <c r="P64" s="56"/>
      <c r="Q64" s="56"/>
      <c r="R64" s="56"/>
      <c r="S64" s="56"/>
      <c r="T64" s="56"/>
      <c r="U64" s="56"/>
      <c r="V64" s="56"/>
      <c r="W64" s="56"/>
      <c r="X64" s="56"/>
      <c r="Y64" s="56"/>
      <c r="Z64" s="56"/>
      <c r="AA64" s="56"/>
      <c r="AB64" s="131"/>
      <c r="AC64" s="56"/>
      <c r="AD64" s="56"/>
      <c r="AE64" s="56"/>
      <c r="AF64" s="56"/>
      <c r="AG64" s="56"/>
      <c r="AH64" s="56"/>
      <c r="AI64" s="56"/>
      <c r="AJ64" s="56"/>
      <c r="AK64" s="56"/>
      <c r="AL64" s="56"/>
      <c r="AM64" s="56"/>
      <c r="AN64" s="56"/>
      <c r="AO64" s="56"/>
    </row>
    <row r="65" spans="1:41">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131"/>
      <c r="AC65" s="56"/>
      <c r="AD65" s="56"/>
      <c r="AE65" s="56"/>
      <c r="AF65" s="56"/>
      <c r="AG65" s="56"/>
      <c r="AH65" s="56"/>
      <c r="AI65" s="56"/>
      <c r="AJ65" s="56"/>
      <c r="AK65" s="56"/>
      <c r="AL65" s="56"/>
      <c r="AM65" s="56"/>
      <c r="AN65" s="56"/>
      <c r="AO65" s="56"/>
    </row>
    <row r="66" spans="1:41">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131"/>
      <c r="AC66" s="56"/>
      <c r="AD66" s="56"/>
      <c r="AE66" s="56"/>
      <c r="AF66" s="56"/>
      <c r="AG66" s="56"/>
      <c r="AH66" s="56"/>
      <c r="AI66" s="56"/>
      <c r="AJ66" s="56"/>
      <c r="AK66" s="56"/>
      <c r="AL66" s="56"/>
      <c r="AM66" s="56"/>
      <c r="AN66" s="56"/>
      <c r="AO66" s="56"/>
    </row>
    <row r="67" spans="1:41">
      <c r="A67" s="56"/>
      <c r="B67" s="56"/>
      <c r="C67" s="56"/>
      <c r="D67" s="56"/>
      <c r="E67" s="56"/>
      <c r="F67" s="56"/>
      <c r="G67" s="56"/>
      <c r="H67" s="56"/>
      <c r="I67" s="56"/>
      <c r="J67" s="56"/>
      <c r="K67" s="56"/>
      <c r="L67" s="56"/>
      <c r="M67" s="56"/>
      <c r="N67" s="56"/>
      <c r="O67" s="56"/>
      <c r="P67" s="56"/>
      <c r="Q67" s="56"/>
      <c r="R67" s="56"/>
      <c r="S67" s="56"/>
      <c r="T67" s="56"/>
      <c r="U67" s="56"/>
      <c r="V67" s="56"/>
      <c r="W67" s="56"/>
      <c r="X67" s="56"/>
      <c r="Y67" s="56"/>
      <c r="Z67" s="56"/>
      <c r="AA67" s="56"/>
      <c r="AB67" s="131"/>
      <c r="AC67" s="56"/>
      <c r="AD67" s="56"/>
      <c r="AE67" s="56"/>
      <c r="AF67" s="56"/>
      <c r="AG67" s="56"/>
      <c r="AH67" s="56"/>
      <c r="AI67" s="56"/>
      <c r="AJ67" s="56"/>
      <c r="AK67" s="56"/>
      <c r="AL67" s="56"/>
      <c r="AM67" s="56"/>
      <c r="AN67" s="56"/>
      <c r="AO67" s="56"/>
    </row>
    <row r="68" spans="1:41">
      <c r="A68" s="56"/>
      <c r="B68" s="56"/>
      <c r="C68" s="56"/>
      <c r="D68" s="56"/>
      <c r="E68" s="56"/>
      <c r="F68" s="56"/>
      <c r="G68" s="56"/>
      <c r="H68" s="56"/>
      <c r="I68" s="56"/>
      <c r="J68" s="56"/>
      <c r="K68" s="56"/>
      <c r="L68" s="56"/>
      <c r="M68" s="56"/>
      <c r="N68" s="56"/>
      <c r="O68" s="56"/>
      <c r="P68" s="56"/>
      <c r="Q68" s="56"/>
      <c r="R68" s="56"/>
      <c r="S68" s="56"/>
      <c r="T68" s="56"/>
      <c r="U68" s="56"/>
      <c r="V68" s="56"/>
      <c r="W68" s="56"/>
      <c r="X68" s="56"/>
      <c r="Y68" s="56"/>
      <c r="Z68" s="56"/>
      <c r="AA68" s="56"/>
      <c r="AB68" s="131"/>
      <c r="AC68" s="56"/>
      <c r="AD68" s="56"/>
      <c r="AE68" s="56"/>
      <c r="AF68" s="56"/>
      <c r="AG68" s="56"/>
      <c r="AH68" s="56"/>
      <c r="AI68" s="56"/>
      <c r="AJ68" s="56"/>
      <c r="AK68" s="56"/>
      <c r="AL68" s="56"/>
      <c r="AM68" s="56"/>
      <c r="AN68" s="56"/>
      <c r="AO68" s="56"/>
    </row>
    <row r="69" spans="1:41">
      <c r="A69" s="56"/>
      <c r="B69" s="56"/>
      <c r="C69" s="56"/>
      <c r="D69" s="56"/>
      <c r="E69" s="56"/>
      <c r="F69" s="56"/>
      <c r="G69" s="56"/>
      <c r="H69" s="56"/>
      <c r="I69" s="56"/>
      <c r="J69" s="56"/>
      <c r="K69" s="56"/>
      <c r="L69" s="56"/>
      <c r="M69" s="56"/>
      <c r="N69" s="56"/>
      <c r="O69" s="56"/>
      <c r="P69" s="56"/>
      <c r="Q69" s="56"/>
      <c r="R69" s="56"/>
      <c r="S69" s="56"/>
      <c r="T69" s="56"/>
      <c r="U69" s="56"/>
      <c r="V69" s="56"/>
      <c r="W69" s="56"/>
      <c r="X69" s="56"/>
      <c r="Y69" s="56"/>
      <c r="Z69" s="56"/>
      <c r="AA69" s="56"/>
      <c r="AB69" s="131"/>
      <c r="AC69" s="56"/>
      <c r="AD69" s="56"/>
      <c r="AE69" s="56"/>
      <c r="AF69" s="56"/>
      <c r="AG69" s="56"/>
      <c r="AH69" s="56"/>
      <c r="AI69" s="56"/>
      <c r="AJ69" s="56"/>
      <c r="AK69" s="56"/>
      <c r="AL69" s="56"/>
      <c r="AM69" s="56"/>
      <c r="AN69" s="56"/>
      <c r="AO69" s="56"/>
    </row>
    <row r="70" spans="1:41">
      <c r="A70" s="56"/>
      <c r="B70" s="56"/>
      <c r="C70" s="56"/>
      <c r="D70" s="56"/>
      <c r="E70" s="56"/>
      <c r="F70" s="56"/>
      <c r="G70" s="56"/>
      <c r="H70" s="56"/>
      <c r="I70" s="56"/>
      <c r="J70" s="56"/>
      <c r="K70" s="56"/>
      <c r="L70" s="56"/>
      <c r="M70" s="56"/>
      <c r="N70" s="56"/>
      <c r="O70" s="56"/>
      <c r="P70" s="56"/>
      <c r="Q70" s="56"/>
      <c r="R70" s="56"/>
      <c r="S70" s="56"/>
      <c r="T70" s="56"/>
      <c r="U70" s="56"/>
      <c r="V70" s="56"/>
      <c r="W70" s="56"/>
      <c r="X70" s="56"/>
      <c r="Y70" s="56"/>
      <c r="Z70" s="56"/>
      <c r="AA70" s="56"/>
      <c r="AB70" s="131"/>
      <c r="AC70" s="56"/>
      <c r="AD70" s="56"/>
      <c r="AE70" s="56"/>
      <c r="AF70" s="56"/>
      <c r="AG70" s="56"/>
      <c r="AH70" s="56"/>
      <c r="AI70" s="56"/>
      <c r="AJ70" s="56"/>
      <c r="AK70" s="56"/>
      <c r="AL70" s="56"/>
      <c r="AM70" s="56"/>
      <c r="AN70" s="56"/>
      <c r="AO70" s="56"/>
    </row>
    <row r="71" spans="1:41">
      <c r="A71" s="56"/>
      <c r="B71" s="56"/>
      <c r="C71" s="56"/>
      <c r="D71" s="56"/>
      <c r="E71" s="56"/>
      <c r="F71" s="56"/>
      <c r="G71" s="56"/>
      <c r="H71" s="56"/>
      <c r="I71" s="56"/>
      <c r="J71" s="56"/>
      <c r="K71" s="56"/>
      <c r="L71" s="56"/>
      <c r="M71" s="56"/>
      <c r="N71" s="56"/>
      <c r="O71" s="56"/>
      <c r="P71" s="56"/>
      <c r="Q71" s="56"/>
      <c r="R71" s="56"/>
      <c r="S71" s="56"/>
      <c r="T71" s="56"/>
      <c r="U71" s="56"/>
      <c r="V71" s="56"/>
      <c r="W71" s="56"/>
      <c r="X71" s="56"/>
      <c r="Y71" s="56"/>
      <c r="Z71" s="56"/>
      <c r="AA71" s="56"/>
      <c r="AB71" s="131"/>
      <c r="AC71" s="56"/>
      <c r="AD71" s="56"/>
      <c r="AE71" s="56"/>
      <c r="AF71" s="56"/>
      <c r="AG71" s="56"/>
      <c r="AH71" s="56"/>
      <c r="AI71" s="56"/>
      <c r="AJ71" s="56"/>
      <c r="AK71" s="56"/>
      <c r="AL71" s="56"/>
      <c r="AM71" s="56"/>
      <c r="AN71" s="56"/>
      <c r="AO71" s="56"/>
    </row>
    <row r="72" spans="1:41">
      <c r="A72" s="56"/>
      <c r="B72" s="56"/>
      <c r="C72" s="56"/>
      <c r="D72" s="56"/>
      <c r="E72" s="56"/>
      <c r="F72" s="56"/>
      <c r="G72" s="56"/>
      <c r="H72" s="56"/>
      <c r="I72" s="56"/>
      <c r="J72" s="56"/>
      <c r="K72" s="56"/>
      <c r="L72" s="56"/>
      <c r="M72" s="56"/>
      <c r="N72" s="56"/>
      <c r="O72" s="56"/>
      <c r="P72" s="56"/>
      <c r="Q72" s="56"/>
      <c r="R72" s="56"/>
      <c r="S72" s="56"/>
      <c r="T72" s="56"/>
      <c r="U72" s="56"/>
      <c r="V72" s="56"/>
      <c r="W72" s="56"/>
      <c r="X72" s="56"/>
      <c r="Y72" s="56"/>
      <c r="Z72" s="56"/>
      <c r="AA72" s="56"/>
      <c r="AB72" s="131"/>
      <c r="AC72" s="56"/>
      <c r="AD72" s="56"/>
      <c r="AE72" s="56"/>
      <c r="AF72" s="56"/>
      <c r="AG72" s="56"/>
      <c r="AH72" s="56"/>
      <c r="AI72" s="56"/>
      <c r="AJ72" s="56"/>
      <c r="AK72" s="56"/>
      <c r="AL72" s="56"/>
      <c r="AM72" s="56"/>
      <c r="AN72" s="56"/>
      <c r="AO72" s="56"/>
    </row>
    <row r="73" spans="1:41">
      <c r="A73" s="56"/>
      <c r="B73" s="56"/>
      <c r="C73" s="56"/>
      <c r="D73" s="56"/>
      <c r="E73" s="56"/>
      <c r="F73" s="56"/>
      <c r="G73" s="56"/>
      <c r="H73" s="56"/>
      <c r="I73" s="56"/>
      <c r="J73" s="56"/>
      <c r="K73" s="56"/>
      <c r="L73" s="56"/>
      <c r="M73" s="56"/>
      <c r="N73" s="56"/>
      <c r="O73" s="56"/>
      <c r="P73" s="56"/>
      <c r="Q73" s="56"/>
      <c r="R73" s="56"/>
      <c r="S73" s="56"/>
      <c r="T73" s="56"/>
      <c r="U73" s="56"/>
      <c r="V73" s="56"/>
      <c r="W73" s="56"/>
      <c r="X73" s="56"/>
      <c r="Y73" s="56"/>
      <c r="Z73" s="56"/>
      <c r="AA73" s="56"/>
      <c r="AB73" s="131"/>
      <c r="AC73" s="56"/>
      <c r="AD73" s="56"/>
      <c r="AE73" s="56"/>
      <c r="AF73" s="56"/>
      <c r="AG73" s="56"/>
      <c r="AH73" s="56"/>
      <c r="AI73" s="56"/>
      <c r="AJ73" s="56"/>
      <c r="AK73" s="56"/>
      <c r="AL73" s="56"/>
      <c r="AM73" s="56"/>
      <c r="AN73" s="56"/>
      <c r="AO73" s="56"/>
    </row>
    <row r="74" spans="1:41">
      <c r="A74" s="56"/>
      <c r="B74" s="56"/>
      <c r="C74" s="56"/>
      <c r="D74" s="56"/>
      <c r="E74" s="56"/>
      <c r="F74" s="56"/>
      <c r="G74" s="56"/>
      <c r="H74" s="56"/>
      <c r="I74" s="56"/>
      <c r="J74" s="56"/>
      <c r="K74" s="56"/>
      <c r="L74" s="56"/>
      <c r="M74" s="56"/>
      <c r="N74" s="56"/>
      <c r="O74" s="56"/>
      <c r="P74" s="56"/>
      <c r="Q74" s="56"/>
      <c r="R74" s="56"/>
      <c r="S74" s="56"/>
      <c r="T74" s="56"/>
      <c r="U74" s="56"/>
      <c r="V74" s="56"/>
      <c r="W74" s="56"/>
      <c r="X74" s="56"/>
      <c r="Y74" s="56"/>
      <c r="Z74" s="56"/>
      <c r="AA74" s="56"/>
      <c r="AB74" s="131"/>
      <c r="AC74" s="56"/>
      <c r="AD74" s="56"/>
      <c r="AE74" s="56"/>
      <c r="AF74" s="56"/>
      <c r="AG74" s="56"/>
      <c r="AH74" s="56"/>
      <c r="AI74" s="56"/>
      <c r="AJ74" s="56"/>
      <c r="AK74" s="56"/>
      <c r="AL74" s="56"/>
      <c r="AM74" s="56"/>
      <c r="AN74" s="56"/>
      <c r="AO74" s="56"/>
    </row>
    <row r="75" spans="1:41">
      <c r="A75" s="56"/>
      <c r="B75" s="56"/>
      <c r="C75" s="56"/>
      <c r="D75" s="56"/>
      <c r="E75" s="56"/>
      <c r="F75" s="56"/>
      <c r="G75" s="56"/>
      <c r="H75" s="56"/>
      <c r="I75" s="56"/>
      <c r="J75" s="56"/>
      <c r="K75" s="56"/>
      <c r="L75" s="56"/>
      <c r="M75" s="56"/>
      <c r="N75" s="56"/>
      <c r="O75" s="56"/>
      <c r="P75" s="56"/>
      <c r="Q75" s="56"/>
      <c r="R75" s="56"/>
      <c r="S75" s="56"/>
      <c r="T75" s="56"/>
      <c r="U75" s="56"/>
      <c r="V75" s="56"/>
      <c r="W75" s="56"/>
      <c r="X75" s="56"/>
      <c r="Y75" s="56"/>
      <c r="Z75" s="56"/>
      <c r="AA75" s="56"/>
      <c r="AB75" s="131"/>
      <c r="AC75" s="56"/>
      <c r="AD75" s="56"/>
      <c r="AE75" s="56"/>
      <c r="AF75" s="56"/>
      <c r="AG75" s="56"/>
      <c r="AH75" s="56"/>
      <c r="AI75" s="56"/>
      <c r="AJ75" s="56"/>
      <c r="AK75" s="56"/>
      <c r="AL75" s="56"/>
      <c r="AM75" s="56"/>
      <c r="AN75" s="56"/>
      <c r="AO75" s="56"/>
    </row>
    <row r="76" spans="1:41">
      <c r="A76" s="56"/>
      <c r="B76" s="56"/>
      <c r="C76" s="56"/>
      <c r="D76" s="56"/>
      <c r="E76" s="56"/>
      <c r="F76" s="56"/>
      <c r="G76" s="56"/>
      <c r="H76" s="56"/>
      <c r="I76" s="56"/>
      <c r="J76" s="56"/>
      <c r="K76" s="56"/>
      <c r="L76" s="56"/>
      <c r="M76" s="56"/>
      <c r="N76" s="56"/>
      <c r="O76" s="56"/>
      <c r="P76" s="56"/>
      <c r="Q76" s="56"/>
      <c r="R76" s="56"/>
      <c r="S76" s="56"/>
      <c r="T76" s="56"/>
      <c r="U76" s="56"/>
      <c r="V76" s="56"/>
      <c r="W76" s="56"/>
      <c r="X76" s="56"/>
      <c r="Y76" s="56"/>
      <c r="Z76" s="56"/>
      <c r="AA76" s="56"/>
      <c r="AB76" s="131"/>
      <c r="AC76" s="56"/>
      <c r="AD76" s="56"/>
      <c r="AE76" s="56"/>
      <c r="AF76" s="56"/>
      <c r="AG76" s="56"/>
      <c r="AH76" s="56"/>
      <c r="AI76" s="56"/>
      <c r="AJ76" s="56"/>
      <c r="AK76" s="56"/>
      <c r="AL76" s="56"/>
      <c r="AM76" s="56"/>
      <c r="AN76" s="56"/>
      <c r="AO76" s="56"/>
    </row>
    <row r="77" spans="1:41">
      <c r="A77" s="56"/>
      <c r="B77" s="56"/>
      <c r="C77" s="56"/>
      <c r="D77" s="56"/>
      <c r="E77" s="56"/>
      <c r="F77" s="56"/>
      <c r="G77" s="56"/>
      <c r="H77" s="56"/>
      <c r="I77" s="56"/>
      <c r="J77" s="56"/>
      <c r="K77" s="56"/>
      <c r="L77" s="56"/>
      <c r="M77" s="56"/>
      <c r="N77" s="56"/>
      <c r="O77" s="56"/>
      <c r="P77" s="56"/>
      <c r="Q77" s="56"/>
      <c r="R77" s="56"/>
      <c r="S77" s="56"/>
      <c r="T77" s="56"/>
      <c r="U77" s="56"/>
      <c r="V77" s="56"/>
      <c r="W77" s="56"/>
      <c r="X77" s="56"/>
      <c r="Y77" s="56"/>
      <c r="Z77" s="56"/>
      <c r="AA77" s="56"/>
      <c r="AB77" s="131"/>
      <c r="AC77" s="56"/>
      <c r="AD77" s="56"/>
      <c r="AE77" s="56"/>
      <c r="AF77" s="56"/>
      <c r="AG77" s="56"/>
      <c r="AH77" s="56"/>
      <c r="AI77" s="56"/>
      <c r="AJ77" s="56"/>
      <c r="AK77" s="56"/>
      <c r="AL77" s="56"/>
      <c r="AM77" s="56"/>
      <c r="AN77" s="56"/>
      <c r="AO77" s="56"/>
    </row>
    <row r="78" spans="1:41">
      <c r="A78" s="56"/>
      <c r="B78" s="56"/>
      <c r="C78" s="56"/>
      <c r="D78" s="56"/>
      <c r="E78" s="56"/>
      <c r="F78" s="56"/>
      <c r="G78" s="56"/>
      <c r="H78" s="56"/>
      <c r="I78" s="56"/>
      <c r="J78" s="56"/>
      <c r="K78" s="56"/>
      <c r="L78" s="56"/>
      <c r="M78" s="56"/>
      <c r="N78" s="56"/>
      <c r="O78" s="56"/>
      <c r="P78" s="56"/>
      <c r="Q78" s="56"/>
      <c r="R78" s="56"/>
      <c r="S78" s="56"/>
      <c r="T78" s="56"/>
      <c r="U78" s="56"/>
      <c r="V78" s="56"/>
      <c r="W78" s="56"/>
      <c r="X78" s="56"/>
      <c r="Y78" s="56"/>
      <c r="Z78" s="56"/>
      <c r="AA78" s="56"/>
      <c r="AB78" s="131"/>
      <c r="AC78" s="56"/>
      <c r="AD78" s="56"/>
      <c r="AE78" s="56"/>
      <c r="AF78" s="56"/>
      <c r="AG78" s="56"/>
      <c r="AH78" s="56"/>
      <c r="AI78" s="56"/>
      <c r="AJ78" s="56"/>
      <c r="AK78" s="56"/>
      <c r="AL78" s="56"/>
      <c r="AM78" s="56"/>
      <c r="AN78" s="56"/>
      <c r="AO78" s="56"/>
    </row>
    <row r="79" spans="1:41">
      <c r="A79" s="56"/>
      <c r="B79" s="56"/>
      <c r="C79" s="56"/>
      <c r="D79" s="56"/>
      <c r="E79" s="56"/>
      <c r="F79" s="56"/>
      <c r="G79" s="56"/>
      <c r="H79" s="56"/>
      <c r="I79" s="56"/>
      <c r="J79" s="56"/>
      <c r="K79" s="56"/>
      <c r="L79" s="56"/>
      <c r="M79" s="56"/>
      <c r="N79" s="56"/>
      <c r="O79" s="56"/>
      <c r="P79" s="56"/>
      <c r="Q79" s="56"/>
      <c r="R79" s="56"/>
      <c r="S79" s="56"/>
      <c r="T79" s="56"/>
      <c r="U79" s="56"/>
      <c r="V79" s="56"/>
      <c r="W79" s="56"/>
      <c r="X79" s="56"/>
      <c r="Y79" s="56"/>
      <c r="Z79" s="56"/>
      <c r="AA79" s="56"/>
      <c r="AB79" s="131"/>
      <c r="AC79" s="56"/>
      <c r="AD79" s="56"/>
      <c r="AE79" s="56"/>
      <c r="AF79" s="56"/>
      <c r="AG79" s="56"/>
      <c r="AH79" s="56"/>
      <c r="AI79" s="56"/>
      <c r="AJ79" s="56"/>
      <c r="AK79" s="56"/>
      <c r="AL79" s="56"/>
      <c r="AM79" s="56"/>
      <c r="AN79" s="56"/>
      <c r="AO79" s="56"/>
    </row>
    <row r="80" spans="1:41">
      <c r="A80" s="56"/>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131"/>
      <c r="AC80" s="56"/>
      <c r="AD80" s="56"/>
      <c r="AE80" s="56"/>
      <c r="AF80" s="56"/>
      <c r="AG80" s="56"/>
      <c r="AH80" s="56"/>
      <c r="AI80" s="56"/>
      <c r="AJ80" s="56"/>
      <c r="AK80" s="56"/>
      <c r="AL80" s="56"/>
      <c r="AM80" s="56"/>
      <c r="AN80" s="56"/>
      <c r="AO80" s="56"/>
    </row>
    <row r="81" spans="1:41">
      <c r="A81" s="56"/>
      <c r="B81" s="56"/>
      <c r="C81" s="56"/>
      <c r="D81" s="56"/>
      <c r="E81" s="56"/>
      <c r="F81" s="56"/>
      <c r="G81" s="56"/>
      <c r="H81" s="56"/>
      <c r="I81" s="56"/>
      <c r="J81" s="56"/>
      <c r="K81" s="56"/>
      <c r="L81" s="56"/>
      <c r="M81" s="56"/>
      <c r="N81" s="56"/>
      <c r="O81" s="56"/>
      <c r="P81" s="56"/>
      <c r="Q81" s="56"/>
      <c r="R81" s="56"/>
      <c r="S81" s="56"/>
      <c r="T81" s="56"/>
      <c r="U81" s="56"/>
      <c r="V81" s="56"/>
      <c r="W81" s="56"/>
      <c r="X81" s="56"/>
      <c r="Y81" s="56"/>
      <c r="Z81" s="56"/>
      <c r="AA81" s="56"/>
      <c r="AB81" s="131"/>
      <c r="AC81" s="56"/>
      <c r="AD81" s="56"/>
      <c r="AE81" s="56"/>
      <c r="AF81" s="56"/>
      <c r="AG81" s="56"/>
      <c r="AH81" s="56"/>
      <c r="AI81" s="56"/>
      <c r="AJ81" s="56"/>
      <c r="AK81" s="56"/>
      <c r="AL81" s="56"/>
      <c r="AM81" s="56"/>
      <c r="AN81" s="56"/>
      <c r="AO81" s="56"/>
    </row>
    <row r="82" spans="1:41">
      <c r="A82" s="58"/>
      <c r="B82" s="56"/>
      <c r="C82" s="56"/>
      <c r="D82" s="56"/>
      <c r="E82" s="56"/>
      <c r="F82" s="56"/>
      <c r="G82" s="56"/>
      <c r="H82" s="56"/>
      <c r="I82" s="56"/>
      <c r="J82" s="56"/>
      <c r="K82" s="56"/>
      <c r="L82" s="56"/>
      <c r="M82" s="56"/>
      <c r="N82" s="56"/>
      <c r="O82" s="56"/>
      <c r="P82" s="56"/>
      <c r="Q82" s="56"/>
      <c r="R82" s="56"/>
      <c r="S82" s="56"/>
      <c r="T82" s="56"/>
      <c r="U82" s="56"/>
      <c r="V82" s="56"/>
      <c r="W82" s="56"/>
      <c r="X82" s="56"/>
      <c r="Y82" s="56"/>
      <c r="Z82" s="56"/>
      <c r="AA82" s="56"/>
      <c r="AB82" s="131"/>
      <c r="AC82" s="56"/>
      <c r="AD82" s="56"/>
      <c r="AE82" s="56"/>
      <c r="AF82" s="56"/>
      <c r="AG82" s="56"/>
      <c r="AH82" s="56"/>
      <c r="AI82" s="56"/>
      <c r="AJ82" s="56"/>
      <c r="AK82" s="56"/>
      <c r="AL82" s="56"/>
      <c r="AM82" s="56"/>
      <c r="AN82" s="56"/>
      <c r="AO82" s="56"/>
    </row>
    <row r="83" spans="1:41">
      <c r="A83" s="56"/>
      <c r="B83" s="56"/>
      <c r="C83" s="56"/>
      <c r="D83" s="56"/>
      <c r="E83" s="56"/>
      <c r="F83" s="56"/>
      <c r="G83" s="56"/>
      <c r="H83" s="56"/>
      <c r="I83" s="56"/>
      <c r="J83" s="56"/>
      <c r="K83" s="56"/>
      <c r="L83" s="56"/>
      <c r="M83" s="56"/>
      <c r="N83" s="56"/>
      <c r="O83" s="56"/>
      <c r="P83" s="56"/>
      <c r="Q83" s="56"/>
      <c r="R83" s="56"/>
      <c r="S83" s="56"/>
      <c r="T83" s="56"/>
      <c r="U83" s="56"/>
      <c r="V83" s="56"/>
      <c r="W83" s="56"/>
      <c r="X83" s="56"/>
      <c r="Y83" s="56"/>
      <c r="Z83" s="56"/>
      <c r="AA83" s="56"/>
      <c r="AB83" s="131"/>
      <c r="AC83" s="56"/>
      <c r="AD83" s="56"/>
      <c r="AE83" s="56"/>
      <c r="AF83" s="56"/>
      <c r="AG83" s="56"/>
      <c r="AH83" s="56"/>
      <c r="AI83" s="56"/>
      <c r="AJ83" s="56"/>
      <c r="AK83" s="56"/>
      <c r="AL83" s="56"/>
      <c r="AM83" s="56"/>
      <c r="AN83" s="56"/>
      <c r="AO83" s="56"/>
    </row>
    <row r="84" spans="1:41">
      <c r="A84" s="56"/>
      <c r="B84" s="56"/>
      <c r="C84" s="56"/>
      <c r="D84" s="56"/>
      <c r="E84" s="56"/>
      <c r="F84" s="56"/>
      <c r="G84" s="56"/>
      <c r="H84" s="56"/>
      <c r="I84" s="56"/>
      <c r="J84" s="56"/>
      <c r="K84" s="56"/>
      <c r="L84" s="56"/>
      <c r="M84" s="56"/>
      <c r="N84" s="56"/>
      <c r="O84" s="56"/>
      <c r="P84" s="56"/>
      <c r="Q84" s="56"/>
      <c r="R84" s="56"/>
      <c r="S84" s="56"/>
      <c r="T84" s="56"/>
      <c r="U84" s="56"/>
      <c r="V84" s="56"/>
      <c r="W84" s="56"/>
      <c r="X84" s="56"/>
      <c r="Y84" s="56"/>
      <c r="Z84" s="56"/>
      <c r="AA84" s="56"/>
      <c r="AB84" s="131"/>
      <c r="AC84" s="56"/>
      <c r="AD84" s="56"/>
      <c r="AE84" s="56"/>
      <c r="AF84" s="56"/>
      <c r="AG84" s="56"/>
      <c r="AH84" s="56"/>
      <c r="AI84" s="56"/>
      <c r="AJ84" s="56"/>
      <c r="AK84" s="56"/>
      <c r="AL84" s="56"/>
      <c r="AM84" s="56"/>
      <c r="AN84" s="56"/>
      <c r="AO84" s="56"/>
    </row>
    <row r="85" spans="1:41">
      <c r="A85" s="56"/>
      <c r="B85" s="56"/>
      <c r="C85" s="56"/>
      <c r="D85" s="56"/>
      <c r="E85" s="56"/>
      <c r="F85" s="56"/>
      <c r="G85" s="56"/>
      <c r="H85" s="56"/>
      <c r="I85" s="56"/>
      <c r="J85" s="56"/>
      <c r="K85" s="56"/>
      <c r="L85" s="56"/>
      <c r="M85" s="56"/>
      <c r="N85" s="56"/>
      <c r="O85" s="56"/>
      <c r="P85" s="56"/>
      <c r="Q85" s="56"/>
      <c r="R85" s="56"/>
      <c r="S85" s="56"/>
      <c r="T85" s="56"/>
      <c r="U85" s="56"/>
      <c r="V85" s="56"/>
      <c r="W85" s="56"/>
      <c r="X85" s="56"/>
      <c r="Y85" s="56"/>
      <c r="Z85" s="56"/>
      <c r="AA85" s="56"/>
      <c r="AB85" s="131"/>
      <c r="AC85" s="56"/>
      <c r="AD85" s="56"/>
      <c r="AE85" s="56"/>
      <c r="AF85" s="56"/>
      <c r="AG85" s="56"/>
      <c r="AH85" s="56"/>
      <c r="AI85" s="56"/>
      <c r="AJ85" s="56"/>
      <c r="AK85" s="56"/>
      <c r="AL85" s="56"/>
      <c r="AM85" s="56"/>
      <c r="AN85" s="56"/>
      <c r="AO85" s="56"/>
    </row>
    <row r="86" spans="1:41">
      <c r="A86" s="56"/>
      <c r="B86" s="56"/>
      <c r="C86" s="56"/>
      <c r="D86" s="56"/>
      <c r="E86" s="56"/>
      <c r="F86" s="56"/>
      <c r="G86" s="56"/>
      <c r="H86" s="56"/>
      <c r="I86" s="56"/>
      <c r="J86" s="56"/>
      <c r="K86" s="56"/>
      <c r="L86" s="56"/>
      <c r="M86" s="56"/>
      <c r="N86" s="56"/>
      <c r="O86" s="56"/>
      <c r="P86" s="56"/>
      <c r="Q86" s="56"/>
      <c r="R86" s="56"/>
      <c r="S86" s="56"/>
      <c r="T86" s="56"/>
      <c r="U86" s="56"/>
      <c r="V86" s="56"/>
      <c r="W86" s="56"/>
      <c r="X86" s="56"/>
      <c r="Y86" s="56"/>
      <c r="Z86" s="56"/>
      <c r="AA86" s="56"/>
      <c r="AB86" s="131"/>
      <c r="AC86" s="56"/>
      <c r="AD86" s="56"/>
      <c r="AE86" s="56"/>
      <c r="AF86" s="56"/>
      <c r="AG86" s="56"/>
      <c r="AH86" s="56"/>
      <c r="AI86" s="56"/>
      <c r="AJ86" s="56"/>
      <c r="AK86" s="56"/>
      <c r="AL86" s="56"/>
      <c r="AM86" s="56"/>
      <c r="AN86" s="56"/>
      <c r="AO86" s="56"/>
    </row>
    <row r="87" spans="1:41">
      <c r="A87" s="56"/>
      <c r="B87" s="56"/>
      <c r="C87" s="56"/>
      <c r="D87" s="56"/>
      <c r="E87" s="56"/>
      <c r="F87" s="56"/>
      <c r="G87" s="56"/>
      <c r="H87" s="56"/>
      <c r="I87" s="56"/>
      <c r="J87" s="56"/>
      <c r="K87" s="56"/>
      <c r="L87" s="56"/>
      <c r="M87" s="56"/>
      <c r="N87" s="56"/>
      <c r="O87" s="56"/>
      <c r="P87" s="56"/>
      <c r="Q87" s="56"/>
      <c r="R87" s="56"/>
      <c r="S87" s="56"/>
      <c r="T87" s="56"/>
      <c r="U87" s="56"/>
      <c r="V87" s="56"/>
      <c r="W87" s="56"/>
      <c r="X87" s="56"/>
      <c r="Y87" s="56"/>
      <c r="Z87" s="56"/>
      <c r="AA87" s="56"/>
      <c r="AB87" s="131"/>
      <c r="AC87" s="56"/>
      <c r="AD87" s="56"/>
      <c r="AE87" s="56"/>
      <c r="AF87" s="56"/>
      <c r="AG87" s="56"/>
      <c r="AH87" s="56"/>
      <c r="AI87" s="56"/>
      <c r="AJ87" s="56"/>
      <c r="AK87" s="56"/>
      <c r="AL87" s="56"/>
      <c r="AM87" s="56"/>
      <c r="AN87" s="56"/>
      <c r="AO87" s="56"/>
    </row>
    <row r="88" spans="1:41">
      <c r="A88" s="56"/>
      <c r="B88" s="56"/>
      <c r="C88" s="56"/>
      <c r="D88" s="56"/>
      <c r="E88" s="56"/>
      <c r="F88" s="56"/>
      <c r="G88" s="56"/>
      <c r="H88" s="56"/>
      <c r="I88" s="56"/>
      <c r="J88" s="56"/>
      <c r="K88" s="56"/>
      <c r="L88" s="56"/>
      <c r="M88" s="56"/>
      <c r="N88" s="56"/>
      <c r="O88" s="56"/>
      <c r="P88" s="56"/>
      <c r="Q88" s="56"/>
      <c r="R88" s="56"/>
      <c r="S88" s="56"/>
      <c r="T88" s="56"/>
      <c r="U88" s="56"/>
      <c r="V88" s="56"/>
      <c r="W88" s="56"/>
      <c r="X88" s="56"/>
      <c r="Y88" s="56"/>
      <c r="Z88" s="56"/>
      <c r="AA88" s="56"/>
      <c r="AB88" s="131"/>
      <c r="AC88" s="56"/>
      <c r="AD88" s="56"/>
      <c r="AE88" s="56"/>
      <c r="AF88" s="56"/>
      <c r="AG88" s="56"/>
      <c r="AH88" s="56"/>
      <c r="AI88" s="56"/>
      <c r="AJ88" s="56"/>
      <c r="AK88" s="56"/>
      <c r="AL88" s="56"/>
      <c r="AM88" s="56"/>
      <c r="AN88" s="56"/>
      <c r="AO88" s="56"/>
    </row>
    <row r="89" spans="1:41">
      <c r="A89" s="56"/>
      <c r="B89" s="56"/>
      <c r="C89" s="56"/>
      <c r="D89" s="56"/>
      <c r="E89" s="56"/>
      <c r="F89" s="56"/>
      <c r="G89" s="56"/>
      <c r="H89" s="56"/>
      <c r="I89" s="56"/>
      <c r="J89" s="56"/>
      <c r="K89" s="56"/>
      <c r="L89" s="56"/>
      <c r="M89" s="56"/>
      <c r="N89" s="56"/>
      <c r="O89" s="56"/>
      <c r="P89" s="56"/>
      <c r="Q89" s="56"/>
      <c r="R89" s="56"/>
      <c r="S89" s="56"/>
      <c r="T89" s="56"/>
      <c r="U89" s="56"/>
      <c r="V89" s="56"/>
      <c r="W89" s="56"/>
      <c r="X89" s="56"/>
      <c r="Y89" s="56"/>
      <c r="Z89" s="56"/>
      <c r="AA89" s="56"/>
      <c r="AB89" s="131"/>
      <c r="AC89" s="56"/>
      <c r="AD89" s="56"/>
      <c r="AE89" s="56"/>
      <c r="AF89" s="56"/>
      <c r="AG89" s="56"/>
      <c r="AH89" s="56"/>
      <c r="AI89" s="56"/>
      <c r="AJ89" s="56"/>
      <c r="AK89" s="56"/>
      <c r="AL89" s="56"/>
      <c r="AM89" s="56"/>
      <c r="AN89" s="56"/>
      <c r="AO89" s="56"/>
    </row>
    <row r="90" spans="1:41">
      <c r="A90" s="56"/>
      <c r="B90" s="56"/>
      <c r="C90" s="56"/>
      <c r="D90" s="56"/>
      <c r="E90" s="56"/>
      <c r="F90" s="56"/>
      <c r="G90" s="56"/>
      <c r="H90" s="56"/>
      <c r="I90" s="56"/>
      <c r="J90" s="56"/>
      <c r="K90" s="56"/>
      <c r="L90" s="56"/>
      <c r="M90" s="56"/>
      <c r="N90" s="56"/>
      <c r="O90" s="56"/>
      <c r="P90" s="56"/>
      <c r="Q90" s="56"/>
      <c r="R90" s="56"/>
      <c r="S90" s="56"/>
      <c r="T90" s="56"/>
      <c r="U90" s="56"/>
      <c r="V90" s="56"/>
      <c r="W90" s="56"/>
      <c r="X90" s="56"/>
      <c r="Y90" s="56"/>
      <c r="Z90" s="56"/>
      <c r="AA90" s="56"/>
      <c r="AB90" s="131"/>
      <c r="AC90" s="56"/>
      <c r="AD90" s="56"/>
      <c r="AE90" s="56"/>
      <c r="AF90" s="56"/>
      <c r="AG90" s="56"/>
      <c r="AH90" s="56"/>
      <c r="AI90" s="56"/>
      <c r="AJ90" s="56"/>
      <c r="AK90" s="56"/>
      <c r="AL90" s="56"/>
      <c r="AM90" s="56"/>
      <c r="AN90" s="56"/>
      <c r="AO90" s="56"/>
    </row>
    <row r="91" spans="1:41">
      <c r="A91" s="56"/>
      <c r="B91" s="56"/>
      <c r="C91" s="56"/>
      <c r="D91" s="56"/>
      <c r="E91" s="56"/>
      <c r="F91" s="56"/>
      <c r="G91" s="56"/>
      <c r="H91" s="56"/>
      <c r="I91" s="56"/>
      <c r="J91" s="56"/>
      <c r="K91" s="56"/>
      <c r="L91" s="56"/>
      <c r="M91" s="56"/>
      <c r="N91" s="56"/>
      <c r="O91" s="56"/>
      <c r="P91" s="56"/>
      <c r="Q91" s="56"/>
      <c r="R91" s="56"/>
      <c r="S91" s="56"/>
      <c r="T91" s="56"/>
      <c r="U91" s="56"/>
      <c r="V91" s="56"/>
      <c r="W91" s="56"/>
      <c r="X91" s="56"/>
      <c r="Y91" s="56"/>
      <c r="Z91" s="56"/>
      <c r="AA91" s="56"/>
      <c r="AB91" s="131"/>
      <c r="AC91" s="56"/>
      <c r="AD91" s="56"/>
      <c r="AE91" s="56"/>
      <c r="AF91" s="56"/>
      <c r="AG91" s="56"/>
      <c r="AH91" s="56"/>
      <c r="AI91" s="56"/>
      <c r="AJ91" s="56"/>
      <c r="AK91" s="56"/>
      <c r="AL91" s="56"/>
      <c r="AM91" s="56"/>
      <c r="AN91" s="56"/>
      <c r="AO91" s="56"/>
    </row>
    <row r="92" spans="1:41">
      <c r="A92" s="56"/>
      <c r="B92" s="56"/>
      <c r="C92" s="56"/>
      <c r="D92" s="56"/>
      <c r="E92" s="56"/>
      <c r="F92" s="56"/>
      <c r="G92" s="56"/>
      <c r="H92" s="56"/>
      <c r="I92" s="56"/>
      <c r="J92" s="56"/>
      <c r="K92" s="56"/>
      <c r="L92" s="56"/>
      <c r="M92" s="56"/>
      <c r="N92" s="56"/>
      <c r="O92" s="56"/>
      <c r="P92" s="56"/>
      <c r="Q92" s="56"/>
      <c r="R92" s="56"/>
      <c r="S92" s="56"/>
      <c r="T92" s="56"/>
      <c r="U92" s="56"/>
      <c r="V92" s="56"/>
      <c r="W92" s="56"/>
      <c r="X92" s="56"/>
      <c r="Y92" s="56"/>
      <c r="Z92" s="56"/>
      <c r="AA92" s="56"/>
      <c r="AB92" s="131"/>
      <c r="AC92" s="56"/>
      <c r="AD92" s="56"/>
      <c r="AE92" s="56"/>
      <c r="AF92" s="56"/>
      <c r="AG92" s="56"/>
      <c r="AH92" s="56"/>
      <c r="AI92" s="56"/>
      <c r="AJ92" s="56"/>
      <c r="AK92" s="56"/>
      <c r="AL92" s="56"/>
      <c r="AM92" s="56"/>
      <c r="AN92" s="56"/>
      <c r="AO92" s="56"/>
    </row>
    <row r="93" spans="1:41">
      <c r="A93" s="56"/>
      <c r="B93" s="56"/>
      <c r="C93" s="56"/>
      <c r="D93" s="56"/>
      <c r="E93" s="56"/>
      <c r="F93" s="56"/>
      <c r="G93" s="56"/>
      <c r="H93" s="56"/>
      <c r="I93" s="56"/>
      <c r="J93" s="56"/>
      <c r="K93" s="56"/>
      <c r="L93" s="56"/>
      <c r="M93" s="56"/>
      <c r="N93" s="56"/>
      <c r="O93" s="56"/>
      <c r="P93" s="56"/>
      <c r="Q93" s="56"/>
      <c r="R93" s="56"/>
      <c r="S93" s="56"/>
      <c r="T93" s="56"/>
      <c r="U93" s="56"/>
      <c r="V93" s="56"/>
      <c r="W93" s="56"/>
      <c r="X93" s="56"/>
      <c r="Y93" s="56"/>
      <c r="Z93" s="56"/>
      <c r="AA93" s="56"/>
      <c r="AB93" s="131"/>
      <c r="AC93" s="56"/>
      <c r="AD93" s="56"/>
      <c r="AE93" s="56"/>
      <c r="AF93" s="56"/>
      <c r="AG93" s="56"/>
      <c r="AH93" s="56"/>
      <c r="AI93" s="56"/>
      <c r="AJ93" s="56"/>
      <c r="AK93" s="56"/>
      <c r="AL93" s="56"/>
      <c r="AM93" s="56"/>
      <c r="AN93" s="56"/>
      <c r="AO93" s="56"/>
    </row>
    <row r="94" spans="1:41">
      <c r="A94" s="56"/>
      <c r="B94" s="56"/>
      <c r="C94" s="56"/>
      <c r="D94" s="56"/>
      <c r="E94" s="56"/>
      <c r="F94" s="56"/>
      <c r="G94" s="56"/>
      <c r="H94" s="56"/>
      <c r="I94" s="56"/>
      <c r="J94" s="56"/>
      <c r="K94" s="56"/>
      <c r="L94" s="56"/>
      <c r="M94" s="56"/>
      <c r="N94" s="56"/>
      <c r="O94" s="56"/>
      <c r="P94" s="56"/>
      <c r="Q94" s="56"/>
      <c r="R94" s="56"/>
      <c r="S94" s="56"/>
      <c r="T94" s="56"/>
      <c r="U94" s="56"/>
      <c r="V94" s="56"/>
      <c r="W94" s="56"/>
      <c r="X94" s="56"/>
      <c r="Y94" s="56"/>
      <c r="Z94" s="56"/>
      <c r="AA94" s="56"/>
      <c r="AB94" s="131"/>
      <c r="AC94" s="56"/>
      <c r="AD94" s="56"/>
      <c r="AE94" s="56"/>
      <c r="AF94" s="56"/>
      <c r="AG94" s="56"/>
      <c r="AH94" s="56"/>
      <c r="AI94" s="56"/>
      <c r="AJ94" s="56"/>
      <c r="AK94" s="56"/>
      <c r="AL94" s="56"/>
      <c r="AM94" s="56"/>
      <c r="AN94" s="56"/>
      <c r="AO94" s="56"/>
    </row>
    <row r="95" spans="1:41">
      <c r="A95" s="56"/>
      <c r="B95" s="56"/>
      <c r="C95" s="56"/>
      <c r="D95" s="56"/>
      <c r="E95" s="56"/>
      <c r="F95" s="56"/>
      <c r="G95" s="56"/>
      <c r="H95" s="56"/>
      <c r="I95" s="56"/>
      <c r="J95" s="56"/>
      <c r="K95" s="56"/>
      <c r="L95" s="56"/>
      <c r="M95" s="56"/>
      <c r="N95" s="56"/>
      <c r="O95" s="56"/>
      <c r="P95" s="56"/>
      <c r="Q95" s="56"/>
      <c r="R95" s="56"/>
      <c r="S95" s="56"/>
      <c r="T95" s="56"/>
      <c r="U95" s="56"/>
      <c r="V95" s="56"/>
      <c r="W95" s="56"/>
      <c r="X95" s="56"/>
      <c r="Y95" s="56"/>
      <c r="Z95" s="56"/>
      <c r="AA95" s="56"/>
      <c r="AB95" s="131"/>
      <c r="AC95" s="56"/>
      <c r="AD95" s="56"/>
      <c r="AE95" s="56"/>
      <c r="AF95" s="56"/>
      <c r="AG95" s="56"/>
      <c r="AH95" s="56"/>
      <c r="AI95" s="56"/>
      <c r="AJ95" s="56"/>
      <c r="AK95" s="56"/>
      <c r="AL95" s="56"/>
      <c r="AM95" s="56"/>
      <c r="AN95" s="56"/>
      <c r="AO95" s="56"/>
    </row>
    <row r="96" spans="1:41">
      <c r="A96" s="56"/>
      <c r="B96" s="56"/>
      <c r="C96" s="56"/>
      <c r="D96" s="56"/>
      <c r="E96" s="56"/>
      <c r="F96" s="56"/>
      <c r="G96" s="56"/>
      <c r="H96" s="56"/>
      <c r="I96" s="56"/>
      <c r="J96" s="56"/>
      <c r="K96" s="56"/>
      <c r="L96" s="56"/>
      <c r="M96" s="56"/>
      <c r="N96" s="56"/>
      <c r="O96" s="56"/>
      <c r="P96" s="56"/>
      <c r="Q96" s="56"/>
      <c r="R96" s="56"/>
      <c r="S96" s="56"/>
      <c r="T96" s="56"/>
      <c r="U96" s="56"/>
      <c r="V96" s="56"/>
      <c r="W96" s="56"/>
      <c r="X96" s="56"/>
      <c r="Y96" s="56"/>
      <c r="Z96" s="56"/>
      <c r="AA96" s="56"/>
      <c r="AB96" s="131"/>
      <c r="AC96" s="56"/>
      <c r="AD96" s="56"/>
      <c r="AE96" s="56"/>
      <c r="AF96" s="56"/>
      <c r="AG96" s="56"/>
      <c r="AH96" s="56"/>
      <c r="AI96" s="56"/>
      <c r="AJ96" s="56"/>
      <c r="AK96" s="56"/>
      <c r="AL96" s="56"/>
      <c r="AM96" s="56"/>
      <c r="AN96" s="56"/>
      <c r="AO96" s="56"/>
    </row>
    <row r="97" spans="1:41">
      <c r="A97" s="56"/>
      <c r="B97" s="56"/>
      <c r="C97" s="56"/>
      <c r="D97" s="56"/>
      <c r="E97" s="56"/>
      <c r="F97" s="56"/>
      <c r="G97" s="56"/>
      <c r="H97" s="56"/>
      <c r="I97" s="56"/>
      <c r="J97" s="56"/>
      <c r="K97" s="56"/>
      <c r="L97" s="56"/>
      <c r="M97" s="56"/>
      <c r="N97" s="56"/>
      <c r="O97" s="56"/>
      <c r="P97" s="56"/>
      <c r="Q97" s="56"/>
      <c r="R97" s="56"/>
      <c r="S97" s="56"/>
      <c r="T97" s="56"/>
      <c r="U97" s="56"/>
      <c r="V97" s="56"/>
      <c r="W97" s="56"/>
      <c r="X97" s="56"/>
      <c r="Y97" s="56"/>
      <c r="Z97" s="56"/>
      <c r="AA97" s="56"/>
      <c r="AB97" s="131"/>
      <c r="AC97" s="56"/>
      <c r="AD97" s="56"/>
      <c r="AE97" s="56"/>
      <c r="AF97" s="56"/>
      <c r="AG97" s="56"/>
      <c r="AH97" s="56"/>
      <c r="AI97" s="56"/>
      <c r="AJ97" s="56"/>
      <c r="AK97" s="56"/>
      <c r="AL97" s="56"/>
      <c r="AM97" s="56"/>
      <c r="AN97" s="56"/>
      <c r="AO97" s="56"/>
    </row>
    <row r="98" spans="1:41">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131"/>
      <c r="AC98" s="56"/>
      <c r="AD98" s="56"/>
      <c r="AE98" s="56"/>
      <c r="AF98" s="56"/>
      <c r="AG98" s="56"/>
      <c r="AH98" s="56"/>
      <c r="AI98" s="56"/>
      <c r="AJ98" s="56"/>
      <c r="AK98" s="56"/>
      <c r="AL98" s="56"/>
      <c r="AM98" s="56"/>
      <c r="AN98" s="56"/>
      <c r="AO98" s="56"/>
    </row>
    <row r="99" spans="1:41">
      <c r="A99" s="56"/>
      <c r="B99" s="56"/>
      <c r="C99" s="56"/>
      <c r="D99" s="56"/>
      <c r="E99" s="56"/>
      <c r="F99" s="56"/>
      <c r="G99" s="56"/>
      <c r="H99" s="56"/>
      <c r="I99" s="56"/>
      <c r="J99" s="56"/>
      <c r="K99" s="56"/>
      <c r="L99" s="56"/>
      <c r="M99" s="56"/>
      <c r="N99" s="56"/>
      <c r="O99" s="56"/>
      <c r="P99" s="56"/>
      <c r="Q99" s="56"/>
      <c r="R99" s="56"/>
      <c r="S99" s="56"/>
      <c r="T99" s="56"/>
      <c r="U99" s="56"/>
      <c r="V99" s="56"/>
      <c r="W99" s="56"/>
      <c r="X99" s="56"/>
      <c r="Y99" s="56"/>
      <c r="Z99" s="56"/>
      <c r="AA99" s="56"/>
      <c r="AB99" s="131"/>
      <c r="AC99" s="56"/>
      <c r="AD99" s="56"/>
      <c r="AE99" s="56"/>
      <c r="AF99" s="56"/>
      <c r="AG99" s="56"/>
      <c r="AH99" s="56"/>
      <c r="AI99" s="56"/>
      <c r="AJ99" s="56"/>
      <c r="AK99" s="56"/>
      <c r="AL99" s="56"/>
      <c r="AM99" s="56"/>
      <c r="AN99" s="56"/>
      <c r="AO99" s="56"/>
    </row>
    <row r="100" spans="1:41">
      <c r="A100" s="56"/>
      <c r="B100" s="56"/>
      <c r="C100" s="56"/>
      <c r="D100" s="56"/>
      <c r="E100" s="56"/>
      <c r="F100" s="56"/>
      <c r="G100" s="56"/>
      <c r="H100" s="56"/>
      <c r="I100" s="56"/>
      <c r="J100" s="56"/>
      <c r="K100" s="56"/>
      <c r="L100" s="56"/>
      <c r="M100" s="56"/>
      <c r="N100" s="56"/>
      <c r="O100" s="56"/>
      <c r="P100" s="56"/>
      <c r="Q100" s="56"/>
      <c r="R100" s="56"/>
      <c r="S100" s="56"/>
      <c r="T100" s="56"/>
      <c r="U100" s="56"/>
      <c r="V100" s="56"/>
      <c r="W100" s="56"/>
      <c r="X100" s="56"/>
      <c r="Y100" s="56"/>
      <c r="Z100" s="56"/>
      <c r="AA100" s="56"/>
      <c r="AB100" s="131"/>
      <c r="AC100" s="56"/>
      <c r="AD100" s="56"/>
      <c r="AE100" s="56"/>
      <c r="AF100" s="56"/>
      <c r="AG100" s="56"/>
      <c r="AH100" s="56"/>
      <c r="AI100" s="56"/>
      <c r="AJ100" s="56"/>
      <c r="AK100" s="56"/>
      <c r="AL100" s="56"/>
      <c r="AM100" s="56"/>
      <c r="AN100" s="56"/>
      <c r="AO100" s="56"/>
    </row>
    <row r="101" spans="1:41">
      <c r="A101" s="56"/>
      <c r="B101" s="56"/>
      <c r="C101" s="56"/>
      <c r="D101" s="56"/>
      <c r="E101" s="56"/>
      <c r="F101" s="56"/>
      <c r="G101" s="56"/>
      <c r="H101" s="56"/>
      <c r="I101" s="56"/>
      <c r="J101" s="56"/>
      <c r="K101" s="56"/>
      <c r="L101" s="56"/>
      <c r="M101" s="56"/>
      <c r="N101" s="56"/>
      <c r="O101" s="56"/>
      <c r="P101" s="56"/>
      <c r="Q101" s="56"/>
      <c r="R101" s="56"/>
      <c r="S101" s="56"/>
      <c r="T101" s="56"/>
      <c r="U101" s="56"/>
      <c r="V101" s="56"/>
      <c r="W101" s="56"/>
      <c r="X101" s="56"/>
      <c r="Y101" s="56"/>
      <c r="Z101" s="56"/>
      <c r="AA101" s="56"/>
      <c r="AB101" s="131"/>
      <c r="AC101" s="56"/>
      <c r="AD101" s="56"/>
      <c r="AE101" s="56"/>
      <c r="AF101" s="56"/>
      <c r="AG101" s="56"/>
      <c r="AH101" s="56"/>
      <c r="AI101" s="56"/>
      <c r="AJ101" s="56"/>
      <c r="AK101" s="56"/>
      <c r="AL101" s="56"/>
      <c r="AM101" s="56"/>
      <c r="AN101" s="56"/>
      <c r="AO101" s="56"/>
    </row>
    <row r="102" spans="1:41">
      <c r="A102" s="56"/>
      <c r="B102" s="56"/>
      <c r="C102" s="56"/>
      <c r="D102" s="56"/>
      <c r="E102" s="56"/>
      <c r="F102" s="56"/>
      <c r="G102" s="56"/>
      <c r="H102" s="56"/>
      <c r="I102" s="56"/>
      <c r="J102" s="56"/>
      <c r="K102" s="56"/>
      <c r="L102" s="56"/>
      <c r="M102" s="56"/>
      <c r="N102" s="56"/>
      <c r="O102" s="56"/>
      <c r="P102" s="56"/>
      <c r="Q102" s="56"/>
      <c r="R102" s="56"/>
      <c r="S102" s="56"/>
      <c r="T102" s="56"/>
      <c r="U102" s="56"/>
      <c r="V102" s="56"/>
      <c r="W102" s="56"/>
      <c r="X102" s="56"/>
      <c r="Y102" s="56"/>
      <c r="Z102" s="56"/>
      <c r="AA102" s="56"/>
      <c r="AB102" s="131"/>
      <c r="AC102" s="56"/>
      <c r="AD102" s="56"/>
      <c r="AE102" s="56"/>
      <c r="AF102" s="56"/>
      <c r="AG102" s="56"/>
      <c r="AH102" s="56"/>
      <c r="AI102" s="56"/>
      <c r="AJ102" s="56"/>
      <c r="AK102" s="56"/>
      <c r="AL102" s="56"/>
      <c r="AM102" s="56"/>
      <c r="AN102" s="56"/>
      <c r="AO102" s="56"/>
    </row>
    <row r="103" spans="1:41">
      <c r="A103" s="56"/>
      <c r="B103" s="56"/>
      <c r="C103" s="56"/>
      <c r="D103" s="56"/>
      <c r="E103" s="56"/>
      <c r="F103" s="56"/>
      <c r="G103" s="56"/>
      <c r="H103" s="56"/>
      <c r="I103" s="56"/>
      <c r="J103" s="56"/>
      <c r="K103" s="56"/>
      <c r="L103" s="56"/>
      <c r="M103" s="56"/>
      <c r="N103" s="56"/>
      <c r="O103" s="56"/>
      <c r="P103" s="56"/>
      <c r="Q103" s="56"/>
      <c r="R103" s="56"/>
      <c r="S103" s="56"/>
      <c r="T103" s="56"/>
      <c r="U103" s="56"/>
      <c r="V103" s="56"/>
      <c r="W103" s="56"/>
      <c r="X103" s="56"/>
      <c r="Y103" s="56"/>
      <c r="Z103" s="56"/>
      <c r="AA103" s="56"/>
      <c r="AB103" s="131"/>
      <c r="AC103" s="56"/>
      <c r="AD103" s="56"/>
      <c r="AE103" s="56"/>
      <c r="AF103" s="56"/>
      <c r="AG103" s="56"/>
      <c r="AH103" s="56"/>
      <c r="AI103" s="56"/>
      <c r="AJ103" s="56"/>
      <c r="AK103" s="56"/>
      <c r="AL103" s="56"/>
      <c r="AM103" s="56"/>
      <c r="AN103" s="56"/>
      <c r="AO103" s="56"/>
    </row>
    <row r="104" spans="1:41">
      <c r="A104" s="56"/>
      <c r="B104" s="56"/>
      <c r="C104" s="56"/>
      <c r="D104" s="56"/>
      <c r="E104" s="56"/>
      <c r="F104" s="56"/>
      <c r="G104" s="56"/>
      <c r="H104" s="56"/>
      <c r="I104" s="56"/>
      <c r="J104" s="56"/>
      <c r="K104" s="56"/>
      <c r="L104" s="56"/>
      <c r="M104" s="56"/>
      <c r="N104" s="56"/>
      <c r="O104" s="56"/>
      <c r="P104" s="56"/>
      <c r="Q104" s="56"/>
      <c r="R104" s="56"/>
      <c r="S104" s="56"/>
      <c r="T104" s="56"/>
      <c r="U104" s="56"/>
      <c r="V104" s="56"/>
      <c r="W104" s="56"/>
      <c r="X104" s="56"/>
      <c r="Y104" s="56"/>
      <c r="Z104" s="56"/>
      <c r="AA104" s="56"/>
      <c r="AB104" s="131"/>
      <c r="AC104" s="56"/>
      <c r="AD104" s="56"/>
      <c r="AE104" s="56"/>
      <c r="AF104" s="56"/>
      <c r="AG104" s="56"/>
      <c r="AH104" s="56"/>
      <c r="AI104" s="56"/>
      <c r="AJ104" s="56"/>
      <c r="AK104" s="56"/>
      <c r="AL104" s="56"/>
      <c r="AM104" s="56"/>
      <c r="AN104" s="56"/>
      <c r="AO104" s="56"/>
    </row>
    <row r="105" spans="1:41">
      <c r="A105" s="56"/>
      <c r="B105" s="56"/>
      <c r="C105" s="56"/>
      <c r="D105" s="56"/>
      <c r="E105" s="56"/>
      <c r="F105" s="56"/>
      <c r="G105" s="56"/>
      <c r="H105" s="56"/>
      <c r="I105" s="56"/>
      <c r="J105" s="56"/>
      <c r="K105" s="56"/>
      <c r="L105" s="56"/>
      <c r="M105" s="56"/>
      <c r="N105" s="56"/>
      <c r="O105" s="56"/>
      <c r="P105" s="56"/>
      <c r="Q105" s="56"/>
      <c r="R105" s="56"/>
      <c r="S105" s="56"/>
      <c r="T105" s="56"/>
      <c r="U105" s="56"/>
      <c r="V105" s="56"/>
      <c r="W105" s="56"/>
      <c r="X105" s="56"/>
      <c r="Y105" s="56"/>
      <c r="Z105" s="56"/>
      <c r="AA105" s="56"/>
      <c r="AB105" s="131"/>
      <c r="AC105" s="56"/>
      <c r="AD105" s="56"/>
      <c r="AE105" s="56"/>
      <c r="AF105" s="56"/>
      <c r="AG105" s="56"/>
      <c r="AH105" s="56"/>
      <c r="AI105" s="56"/>
      <c r="AJ105" s="56"/>
      <c r="AK105" s="56"/>
      <c r="AL105" s="56"/>
      <c r="AM105" s="56"/>
      <c r="AN105" s="56"/>
      <c r="AO105" s="56"/>
    </row>
    <row r="106" spans="1:41">
      <c r="A106" s="56"/>
      <c r="B106" s="56"/>
      <c r="C106" s="56"/>
      <c r="D106" s="56"/>
      <c r="E106" s="56"/>
      <c r="F106" s="56"/>
      <c r="G106" s="56"/>
      <c r="H106" s="56"/>
      <c r="I106" s="56"/>
      <c r="J106" s="56"/>
      <c r="K106" s="56"/>
      <c r="L106" s="56"/>
      <c r="M106" s="56"/>
      <c r="N106" s="56"/>
      <c r="O106" s="56"/>
      <c r="P106" s="56"/>
      <c r="Q106" s="56"/>
      <c r="R106" s="56"/>
      <c r="S106" s="56"/>
      <c r="T106" s="56"/>
      <c r="U106" s="56"/>
      <c r="V106" s="56"/>
      <c r="W106" s="56"/>
      <c r="X106" s="56"/>
      <c r="Y106" s="56"/>
      <c r="Z106" s="56"/>
      <c r="AA106" s="56"/>
      <c r="AB106" s="131"/>
      <c r="AC106" s="56"/>
      <c r="AD106" s="56"/>
      <c r="AE106" s="56"/>
      <c r="AF106" s="56"/>
      <c r="AG106" s="56"/>
      <c r="AH106" s="56"/>
      <c r="AI106" s="56"/>
      <c r="AJ106" s="56"/>
      <c r="AK106" s="56"/>
      <c r="AL106" s="56"/>
      <c r="AM106" s="56"/>
      <c r="AN106" s="56"/>
      <c r="AO106" s="56"/>
    </row>
    <row r="107" spans="1:41">
      <c r="A107" s="56"/>
      <c r="B107" s="56"/>
      <c r="C107" s="56"/>
      <c r="D107" s="56"/>
      <c r="E107" s="56"/>
      <c r="F107" s="56"/>
      <c r="G107" s="56"/>
      <c r="H107" s="56"/>
      <c r="I107" s="56"/>
      <c r="J107" s="56"/>
      <c r="K107" s="56"/>
      <c r="L107" s="56"/>
      <c r="M107" s="56"/>
      <c r="N107" s="56"/>
      <c r="O107" s="56"/>
      <c r="P107" s="56"/>
      <c r="Q107" s="56"/>
      <c r="R107" s="56"/>
      <c r="S107" s="56"/>
      <c r="T107" s="56"/>
      <c r="U107" s="56"/>
      <c r="V107" s="56"/>
      <c r="W107" s="56"/>
      <c r="X107" s="56"/>
      <c r="Y107" s="56"/>
      <c r="Z107" s="56"/>
      <c r="AA107" s="56"/>
      <c r="AB107" s="131"/>
      <c r="AC107" s="56"/>
      <c r="AD107" s="56"/>
      <c r="AE107" s="56"/>
      <c r="AF107" s="56"/>
      <c r="AG107" s="56"/>
      <c r="AH107" s="56"/>
      <c r="AI107" s="56"/>
      <c r="AJ107" s="56"/>
      <c r="AK107" s="56"/>
      <c r="AL107" s="56"/>
      <c r="AM107" s="56"/>
      <c r="AN107" s="56"/>
      <c r="AO107" s="56"/>
    </row>
    <row r="108" spans="1:41">
      <c r="A108" s="56"/>
      <c r="B108" s="56"/>
      <c r="C108" s="56"/>
      <c r="D108" s="56"/>
      <c r="E108" s="56"/>
      <c r="F108" s="56"/>
      <c r="G108" s="56"/>
      <c r="H108" s="56"/>
      <c r="I108" s="56"/>
      <c r="J108" s="56"/>
      <c r="K108" s="56"/>
      <c r="L108" s="56"/>
      <c r="M108" s="56"/>
      <c r="N108" s="56"/>
      <c r="O108" s="56"/>
      <c r="P108" s="56"/>
      <c r="Q108" s="56"/>
      <c r="R108" s="56"/>
      <c r="S108" s="56"/>
      <c r="T108" s="56"/>
      <c r="U108" s="56"/>
      <c r="V108" s="56"/>
      <c r="W108" s="56"/>
      <c r="X108" s="56"/>
      <c r="Y108" s="56"/>
      <c r="Z108" s="56"/>
      <c r="AA108" s="56"/>
      <c r="AB108" s="131"/>
      <c r="AC108" s="56"/>
      <c r="AD108" s="56"/>
      <c r="AE108" s="56"/>
      <c r="AF108" s="56"/>
      <c r="AG108" s="56"/>
      <c r="AH108" s="56"/>
      <c r="AI108" s="56"/>
      <c r="AJ108" s="56"/>
      <c r="AK108" s="56"/>
      <c r="AL108" s="56"/>
      <c r="AM108" s="56"/>
      <c r="AN108" s="56"/>
      <c r="AO108" s="56"/>
    </row>
    <row r="109" spans="1:41">
      <c r="A109" s="56"/>
      <c r="B109" s="56"/>
      <c r="C109" s="56"/>
      <c r="D109" s="56"/>
      <c r="E109" s="56"/>
      <c r="F109" s="56"/>
      <c r="G109" s="56"/>
      <c r="H109" s="56"/>
      <c r="I109" s="56"/>
      <c r="J109" s="56"/>
      <c r="K109" s="56"/>
      <c r="L109" s="56"/>
      <c r="M109" s="56"/>
      <c r="N109" s="56"/>
      <c r="O109" s="56"/>
      <c r="P109" s="56"/>
      <c r="Q109" s="56"/>
      <c r="R109" s="56"/>
      <c r="S109" s="56"/>
      <c r="T109" s="56"/>
      <c r="U109" s="56"/>
      <c r="V109" s="56"/>
      <c r="W109" s="56"/>
      <c r="X109" s="56"/>
      <c r="Y109" s="56"/>
      <c r="Z109" s="56"/>
      <c r="AA109" s="56"/>
      <c r="AB109" s="131"/>
      <c r="AC109" s="56"/>
      <c r="AD109" s="56"/>
      <c r="AE109" s="56"/>
      <c r="AF109" s="56"/>
      <c r="AG109" s="56"/>
      <c r="AH109" s="56"/>
      <c r="AI109" s="56"/>
      <c r="AJ109" s="56"/>
      <c r="AK109" s="56"/>
      <c r="AL109" s="56"/>
      <c r="AM109" s="56"/>
      <c r="AN109" s="56"/>
      <c r="AO109" s="56"/>
    </row>
    <row r="110" spans="1:41">
      <c r="A110" s="56"/>
      <c r="B110" s="56"/>
      <c r="C110" s="56"/>
      <c r="D110" s="56"/>
      <c r="E110" s="56"/>
      <c r="F110" s="56"/>
      <c r="G110" s="56"/>
      <c r="H110" s="56"/>
      <c r="I110" s="56"/>
      <c r="J110" s="56"/>
      <c r="K110" s="56"/>
      <c r="L110" s="56"/>
      <c r="M110" s="56"/>
      <c r="N110" s="56"/>
      <c r="O110" s="56"/>
      <c r="P110" s="56"/>
      <c r="Q110" s="56"/>
      <c r="R110" s="56"/>
      <c r="S110" s="56"/>
      <c r="T110" s="56"/>
      <c r="U110" s="56"/>
      <c r="V110" s="56"/>
      <c r="W110" s="56"/>
      <c r="X110" s="56"/>
      <c r="Y110" s="56"/>
      <c r="Z110" s="56"/>
      <c r="AA110" s="56"/>
      <c r="AB110" s="131"/>
      <c r="AC110" s="56"/>
      <c r="AD110" s="56"/>
      <c r="AE110" s="56"/>
      <c r="AF110" s="56"/>
      <c r="AG110" s="56"/>
      <c r="AH110" s="56"/>
      <c r="AI110" s="56"/>
      <c r="AJ110" s="56"/>
      <c r="AK110" s="56"/>
      <c r="AL110" s="56"/>
      <c r="AM110" s="56"/>
      <c r="AN110" s="56"/>
      <c r="AO110" s="56"/>
    </row>
    <row r="111" spans="1:41">
      <c r="A111" s="56"/>
      <c r="B111" s="56"/>
      <c r="C111" s="56"/>
      <c r="D111" s="56"/>
      <c r="E111" s="56"/>
      <c r="F111" s="56"/>
      <c r="G111" s="56"/>
      <c r="H111" s="56"/>
      <c r="I111" s="56"/>
      <c r="J111" s="56"/>
      <c r="K111" s="56"/>
      <c r="L111" s="56"/>
      <c r="M111" s="56"/>
      <c r="N111" s="56"/>
      <c r="O111" s="56"/>
      <c r="P111" s="56"/>
      <c r="Q111" s="56"/>
      <c r="R111" s="56"/>
      <c r="S111" s="56"/>
      <c r="T111" s="56"/>
      <c r="U111" s="56"/>
      <c r="V111" s="56"/>
      <c r="W111" s="56"/>
      <c r="X111" s="56"/>
      <c r="Y111" s="56"/>
      <c r="Z111" s="56"/>
      <c r="AA111" s="56"/>
      <c r="AB111" s="131"/>
      <c r="AC111" s="56"/>
      <c r="AD111" s="56"/>
      <c r="AE111" s="56"/>
      <c r="AF111" s="56"/>
      <c r="AG111" s="56"/>
      <c r="AH111" s="56"/>
      <c r="AI111" s="56"/>
      <c r="AJ111" s="56"/>
      <c r="AK111" s="56"/>
      <c r="AL111" s="56"/>
      <c r="AM111" s="56"/>
      <c r="AN111" s="56"/>
      <c r="AO111" s="56"/>
    </row>
    <row r="112" spans="1:41">
      <c r="A112" s="56"/>
      <c r="B112" s="56"/>
      <c r="C112" s="56"/>
      <c r="D112" s="56"/>
      <c r="E112" s="56"/>
      <c r="F112" s="56"/>
      <c r="G112" s="56"/>
      <c r="H112" s="56"/>
      <c r="I112" s="56"/>
      <c r="J112" s="56"/>
      <c r="K112" s="56"/>
      <c r="L112" s="56"/>
      <c r="M112" s="56"/>
      <c r="N112" s="56"/>
      <c r="O112" s="56"/>
      <c r="P112" s="56"/>
      <c r="Q112" s="56"/>
      <c r="R112" s="56"/>
      <c r="S112" s="56"/>
      <c r="T112" s="56"/>
      <c r="U112" s="56"/>
      <c r="V112" s="56"/>
      <c r="W112" s="56"/>
      <c r="X112" s="56"/>
      <c r="Y112" s="56"/>
      <c r="Z112" s="56"/>
      <c r="AA112" s="56"/>
      <c r="AB112" s="131"/>
      <c r="AC112" s="56"/>
      <c r="AD112" s="56"/>
      <c r="AE112" s="56"/>
      <c r="AF112" s="56"/>
      <c r="AG112" s="56"/>
      <c r="AH112" s="56"/>
      <c r="AI112" s="56"/>
      <c r="AJ112" s="56"/>
      <c r="AK112" s="56"/>
      <c r="AL112" s="56"/>
      <c r="AM112" s="56"/>
      <c r="AN112" s="56"/>
      <c r="AO112" s="56"/>
    </row>
    <row r="113" spans="1:41">
      <c r="A113" s="56"/>
      <c r="B113" s="56"/>
      <c r="C113" s="56"/>
      <c r="D113" s="56"/>
      <c r="E113" s="56"/>
      <c r="F113" s="56"/>
      <c r="G113" s="56"/>
      <c r="H113" s="56"/>
      <c r="I113" s="56"/>
      <c r="J113" s="56"/>
      <c r="K113" s="56"/>
      <c r="L113" s="56"/>
      <c r="M113" s="56"/>
      <c r="N113" s="56"/>
      <c r="O113" s="56"/>
      <c r="P113" s="56"/>
      <c r="Q113" s="56"/>
      <c r="R113" s="56"/>
      <c r="S113" s="56"/>
      <c r="T113" s="56"/>
      <c r="U113" s="56"/>
      <c r="V113" s="56"/>
      <c r="W113" s="56"/>
      <c r="X113" s="56"/>
      <c r="Y113" s="56"/>
      <c r="Z113" s="56"/>
      <c r="AA113" s="56"/>
      <c r="AB113" s="131"/>
      <c r="AC113" s="56"/>
      <c r="AD113" s="56"/>
      <c r="AE113" s="56"/>
      <c r="AF113" s="56"/>
      <c r="AG113" s="56"/>
      <c r="AH113" s="56"/>
      <c r="AI113" s="56"/>
      <c r="AJ113" s="56"/>
      <c r="AK113" s="56"/>
      <c r="AL113" s="56"/>
      <c r="AM113" s="56"/>
      <c r="AN113" s="56"/>
      <c r="AO113" s="56"/>
    </row>
    <row r="114" spans="1:41">
      <c r="A114" s="56"/>
      <c r="B114" s="56"/>
      <c r="C114" s="56"/>
      <c r="D114" s="56"/>
      <c r="E114" s="56"/>
      <c r="F114" s="56"/>
      <c r="G114" s="56"/>
      <c r="H114" s="56"/>
      <c r="I114" s="56"/>
      <c r="J114" s="56"/>
      <c r="K114" s="56"/>
      <c r="L114" s="56"/>
      <c r="M114" s="56"/>
      <c r="N114" s="56"/>
      <c r="O114" s="56"/>
      <c r="P114" s="56"/>
      <c r="Q114" s="56"/>
      <c r="R114" s="56"/>
      <c r="S114" s="56"/>
      <c r="T114" s="56"/>
      <c r="U114" s="56"/>
      <c r="V114" s="56"/>
      <c r="W114" s="56"/>
      <c r="X114" s="56"/>
      <c r="Y114" s="56"/>
      <c r="Z114" s="56"/>
      <c r="AA114" s="56"/>
      <c r="AB114" s="131"/>
      <c r="AC114" s="56"/>
      <c r="AD114" s="56"/>
      <c r="AE114" s="56"/>
      <c r="AF114" s="56"/>
      <c r="AG114" s="56"/>
      <c r="AH114" s="56"/>
      <c r="AI114" s="56"/>
      <c r="AJ114" s="56"/>
      <c r="AK114" s="56"/>
      <c r="AL114" s="56"/>
      <c r="AM114" s="56"/>
      <c r="AN114" s="56"/>
      <c r="AO114" s="56"/>
    </row>
    <row r="115" spans="1:41">
      <c r="A115" s="56"/>
      <c r="B115" s="56"/>
      <c r="C115" s="56"/>
      <c r="D115" s="56"/>
      <c r="E115" s="56"/>
      <c r="F115" s="56"/>
      <c r="G115" s="56"/>
      <c r="H115" s="56"/>
      <c r="I115" s="56"/>
      <c r="J115" s="56"/>
      <c r="K115" s="56"/>
      <c r="L115" s="56"/>
      <c r="M115" s="56"/>
      <c r="N115" s="56"/>
      <c r="O115" s="56"/>
      <c r="P115" s="56"/>
      <c r="Q115" s="56"/>
      <c r="R115" s="56"/>
      <c r="S115" s="56"/>
      <c r="T115" s="56"/>
      <c r="U115" s="56"/>
      <c r="V115" s="56"/>
      <c r="W115" s="56"/>
      <c r="X115" s="56"/>
      <c r="Y115" s="56"/>
      <c r="Z115" s="56"/>
      <c r="AA115" s="56"/>
      <c r="AB115" s="131"/>
      <c r="AC115" s="56"/>
      <c r="AD115" s="56"/>
      <c r="AE115" s="56"/>
      <c r="AF115" s="56"/>
      <c r="AG115" s="56"/>
      <c r="AH115" s="56"/>
      <c r="AI115" s="56"/>
      <c r="AJ115" s="56"/>
      <c r="AK115" s="56"/>
      <c r="AL115" s="56"/>
      <c r="AM115" s="56"/>
      <c r="AN115" s="56"/>
      <c r="AO115" s="56"/>
    </row>
    <row r="116" spans="1:41">
      <c r="A116" s="56"/>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131"/>
      <c r="AC116" s="56"/>
      <c r="AD116" s="56"/>
      <c r="AE116" s="56"/>
      <c r="AF116" s="56"/>
      <c r="AG116" s="56"/>
      <c r="AH116" s="56"/>
      <c r="AI116" s="56"/>
      <c r="AJ116" s="56"/>
      <c r="AK116" s="56"/>
      <c r="AL116" s="56"/>
      <c r="AM116" s="56"/>
      <c r="AN116" s="56"/>
      <c r="AO116" s="56"/>
    </row>
    <row r="117" spans="1:41">
      <c r="A117" s="56"/>
      <c r="B117" s="56"/>
      <c r="C117" s="56"/>
      <c r="D117" s="56"/>
      <c r="E117" s="56"/>
      <c r="F117" s="56"/>
      <c r="G117" s="56"/>
      <c r="H117" s="56"/>
      <c r="I117" s="56"/>
      <c r="J117" s="56"/>
      <c r="K117" s="56"/>
      <c r="L117" s="56"/>
      <c r="M117" s="56"/>
      <c r="N117" s="56"/>
      <c r="O117" s="56"/>
      <c r="P117" s="56"/>
      <c r="Q117" s="56"/>
      <c r="R117" s="56"/>
      <c r="S117" s="56"/>
      <c r="T117" s="56"/>
      <c r="U117" s="56"/>
      <c r="V117" s="56"/>
      <c r="W117" s="56"/>
      <c r="X117" s="56"/>
      <c r="Y117" s="56"/>
      <c r="Z117" s="56"/>
      <c r="AA117" s="56"/>
      <c r="AB117" s="131"/>
      <c r="AC117" s="56"/>
      <c r="AD117" s="56"/>
      <c r="AE117" s="56"/>
      <c r="AF117" s="56"/>
      <c r="AG117" s="56"/>
      <c r="AH117" s="56"/>
      <c r="AI117" s="56"/>
      <c r="AJ117" s="56"/>
      <c r="AK117" s="56"/>
      <c r="AL117" s="56"/>
      <c r="AM117" s="56"/>
      <c r="AN117" s="56"/>
      <c r="AO117" s="56"/>
    </row>
    <row r="118" spans="1:41">
      <c r="A118" s="56"/>
      <c r="B118" s="56"/>
      <c r="C118" s="56"/>
      <c r="D118" s="56"/>
      <c r="E118" s="56"/>
      <c r="F118" s="56"/>
      <c r="G118" s="56"/>
      <c r="H118" s="56"/>
      <c r="I118" s="56"/>
      <c r="J118" s="56"/>
      <c r="K118" s="56"/>
      <c r="L118" s="56"/>
      <c r="M118" s="56"/>
      <c r="N118" s="56"/>
      <c r="O118" s="56"/>
      <c r="P118" s="56"/>
      <c r="Q118" s="56"/>
      <c r="R118" s="56"/>
      <c r="S118" s="56"/>
      <c r="T118" s="56"/>
      <c r="U118" s="56"/>
      <c r="V118" s="56"/>
      <c r="W118" s="56"/>
      <c r="X118" s="56"/>
      <c r="Y118" s="56"/>
      <c r="Z118" s="56"/>
      <c r="AA118" s="56"/>
      <c r="AB118" s="131"/>
      <c r="AC118" s="56"/>
      <c r="AD118" s="56"/>
      <c r="AE118" s="56"/>
      <c r="AF118" s="56"/>
      <c r="AG118" s="56"/>
      <c r="AH118" s="56"/>
      <c r="AI118" s="56"/>
      <c r="AJ118" s="56"/>
      <c r="AK118" s="56"/>
      <c r="AL118" s="56"/>
      <c r="AM118" s="56"/>
      <c r="AN118" s="56"/>
      <c r="AO118" s="56"/>
    </row>
    <row r="119" spans="1:41">
      <c r="A119" s="56"/>
      <c r="B119" s="56"/>
      <c r="C119" s="56"/>
      <c r="D119" s="56"/>
      <c r="E119" s="56"/>
      <c r="F119" s="56"/>
      <c r="G119" s="56"/>
      <c r="H119" s="56"/>
      <c r="I119" s="56"/>
      <c r="J119" s="56"/>
      <c r="K119" s="56"/>
      <c r="L119" s="56"/>
      <c r="M119" s="56"/>
      <c r="N119" s="56"/>
      <c r="O119" s="56"/>
      <c r="P119" s="56"/>
      <c r="Q119" s="56"/>
      <c r="R119" s="56"/>
      <c r="S119" s="56"/>
      <c r="T119" s="56"/>
      <c r="U119" s="56"/>
      <c r="V119" s="56"/>
      <c r="W119" s="56"/>
      <c r="X119" s="56"/>
      <c r="Y119" s="56"/>
      <c r="Z119" s="56"/>
      <c r="AA119" s="56"/>
      <c r="AB119" s="131"/>
      <c r="AC119" s="56"/>
      <c r="AD119" s="56"/>
      <c r="AE119" s="56"/>
      <c r="AF119" s="56"/>
      <c r="AG119" s="56"/>
      <c r="AH119" s="56"/>
      <c r="AI119" s="56"/>
      <c r="AJ119" s="56"/>
      <c r="AK119" s="56"/>
      <c r="AL119" s="56"/>
      <c r="AM119" s="56"/>
      <c r="AN119" s="56"/>
      <c r="AO119" s="56"/>
    </row>
    <row r="120" spans="1:41">
      <c r="A120" s="56"/>
      <c r="B120" s="56"/>
      <c r="C120" s="56"/>
      <c r="D120" s="56"/>
      <c r="E120" s="56"/>
      <c r="F120" s="56"/>
      <c r="G120" s="56"/>
      <c r="H120" s="56"/>
      <c r="I120" s="56"/>
      <c r="J120" s="56"/>
      <c r="K120" s="56"/>
      <c r="L120" s="56"/>
      <c r="M120" s="56"/>
      <c r="N120" s="56"/>
      <c r="O120" s="56"/>
      <c r="P120" s="56"/>
      <c r="Q120" s="56"/>
      <c r="R120" s="56"/>
      <c r="S120" s="56"/>
      <c r="T120" s="56"/>
      <c r="U120" s="56"/>
      <c r="V120" s="56"/>
      <c r="W120" s="56"/>
      <c r="X120" s="56"/>
      <c r="Y120" s="56"/>
      <c r="Z120" s="56"/>
      <c r="AA120" s="56"/>
      <c r="AB120" s="131"/>
      <c r="AC120" s="56"/>
      <c r="AD120" s="56"/>
      <c r="AE120" s="56"/>
      <c r="AF120" s="56"/>
      <c r="AG120" s="56"/>
      <c r="AH120" s="56"/>
      <c r="AI120" s="56"/>
      <c r="AJ120" s="56"/>
      <c r="AK120" s="56"/>
      <c r="AL120" s="56"/>
      <c r="AM120" s="56"/>
      <c r="AN120" s="56"/>
      <c r="AO120" s="56"/>
    </row>
    <row r="121" spans="1:41">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131"/>
      <c r="AC121" s="56"/>
      <c r="AD121" s="56"/>
      <c r="AE121" s="56"/>
      <c r="AF121" s="56"/>
      <c r="AG121" s="56"/>
      <c r="AH121" s="56"/>
      <c r="AI121" s="56"/>
      <c r="AJ121" s="56"/>
      <c r="AK121" s="56"/>
      <c r="AL121" s="56"/>
      <c r="AM121" s="56"/>
      <c r="AN121" s="56"/>
      <c r="AO121" s="56"/>
    </row>
    <row r="122" spans="1:41">
      <c r="A122" s="56"/>
      <c r="B122" s="56"/>
      <c r="C122" s="56"/>
      <c r="D122" s="56"/>
      <c r="E122" s="56"/>
      <c r="F122" s="56"/>
      <c r="G122" s="56"/>
      <c r="H122" s="56"/>
      <c r="I122" s="56"/>
      <c r="J122" s="56"/>
      <c r="K122" s="56"/>
      <c r="L122" s="56"/>
      <c r="M122" s="56"/>
      <c r="N122" s="56"/>
      <c r="O122" s="56"/>
      <c r="P122" s="56"/>
      <c r="Q122" s="56"/>
      <c r="R122" s="56"/>
      <c r="S122" s="56"/>
      <c r="T122" s="56"/>
      <c r="U122" s="56"/>
      <c r="V122" s="56"/>
      <c r="W122" s="56"/>
      <c r="X122" s="56"/>
      <c r="Y122" s="56"/>
      <c r="Z122" s="56"/>
      <c r="AA122" s="56"/>
      <c r="AB122" s="131"/>
      <c r="AC122" s="56"/>
      <c r="AD122" s="56"/>
      <c r="AE122" s="56"/>
      <c r="AF122" s="56"/>
      <c r="AG122" s="56"/>
      <c r="AH122" s="56"/>
      <c r="AI122" s="56"/>
      <c r="AJ122" s="56"/>
      <c r="AK122" s="56"/>
      <c r="AL122" s="56"/>
      <c r="AM122" s="56"/>
      <c r="AN122" s="56"/>
      <c r="AO122" s="56"/>
    </row>
    <row r="123" spans="1:41">
      <c r="A123" s="56"/>
      <c r="B123" s="56"/>
      <c r="C123" s="56"/>
      <c r="D123" s="56"/>
      <c r="E123" s="56"/>
      <c r="F123" s="56"/>
      <c r="G123" s="56"/>
      <c r="H123" s="56"/>
      <c r="I123" s="56"/>
      <c r="J123" s="56"/>
      <c r="K123" s="56"/>
      <c r="L123" s="56"/>
      <c r="M123" s="56"/>
      <c r="N123" s="56"/>
      <c r="O123" s="56"/>
      <c r="P123" s="56"/>
      <c r="Q123" s="56"/>
      <c r="R123" s="56"/>
      <c r="S123" s="56"/>
      <c r="T123" s="56"/>
      <c r="U123" s="56"/>
      <c r="V123" s="56"/>
      <c r="W123" s="56"/>
      <c r="X123" s="56"/>
      <c r="Y123" s="56"/>
      <c r="Z123" s="56"/>
      <c r="AA123" s="56"/>
      <c r="AB123" s="131"/>
      <c r="AC123" s="56"/>
      <c r="AD123" s="56"/>
      <c r="AE123" s="56"/>
      <c r="AF123" s="56"/>
      <c r="AG123" s="56"/>
      <c r="AH123" s="56"/>
      <c r="AI123" s="56"/>
      <c r="AJ123" s="56"/>
      <c r="AK123" s="56"/>
      <c r="AL123" s="56"/>
      <c r="AM123" s="56"/>
      <c r="AN123" s="56"/>
      <c r="AO123" s="56"/>
    </row>
    <row r="124" spans="1:41">
      <c r="A124" s="56"/>
      <c r="B124" s="56"/>
      <c r="C124" s="56"/>
      <c r="D124" s="56"/>
      <c r="E124" s="56"/>
      <c r="F124" s="56"/>
      <c r="G124" s="56"/>
      <c r="H124" s="56"/>
      <c r="I124" s="56"/>
      <c r="J124" s="56"/>
      <c r="K124" s="56"/>
      <c r="L124" s="56"/>
      <c r="M124" s="56"/>
      <c r="N124" s="56"/>
      <c r="O124" s="56"/>
      <c r="P124" s="56"/>
      <c r="Q124" s="56"/>
      <c r="R124" s="56"/>
      <c r="S124" s="56"/>
      <c r="T124" s="56"/>
      <c r="U124" s="56"/>
      <c r="V124" s="56"/>
      <c r="W124" s="56"/>
      <c r="X124" s="56"/>
      <c r="Y124" s="56"/>
      <c r="Z124" s="56"/>
      <c r="AA124" s="56"/>
      <c r="AB124" s="131"/>
      <c r="AC124" s="56"/>
      <c r="AD124" s="56"/>
      <c r="AE124" s="56"/>
      <c r="AF124" s="56"/>
      <c r="AG124" s="56"/>
      <c r="AH124" s="56"/>
      <c r="AI124" s="56"/>
      <c r="AJ124" s="56"/>
      <c r="AK124" s="56"/>
      <c r="AL124" s="56"/>
      <c r="AM124" s="56"/>
      <c r="AN124" s="56"/>
      <c r="AO124" s="56"/>
    </row>
    <row r="125" spans="1:41">
      <c r="A125" s="56"/>
      <c r="B125" s="56"/>
      <c r="C125" s="56"/>
      <c r="D125" s="56"/>
      <c r="E125" s="56"/>
      <c r="F125" s="56"/>
      <c r="G125" s="56"/>
      <c r="H125" s="56"/>
      <c r="I125" s="56"/>
      <c r="J125" s="56"/>
      <c r="K125" s="56"/>
      <c r="L125" s="56"/>
      <c r="M125" s="56"/>
      <c r="N125" s="56"/>
      <c r="O125" s="56"/>
      <c r="P125" s="56"/>
      <c r="Q125" s="56"/>
      <c r="R125" s="56"/>
      <c r="S125" s="56"/>
      <c r="T125" s="56"/>
      <c r="U125" s="56"/>
      <c r="V125" s="56"/>
      <c r="W125" s="56"/>
      <c r="X125" s="56"/>
      <c r="Y125" s="56"/>
      <c r="Z125" s="56"/>
      <c r="AA125" s="56"/>
      <c r="AB125" s="131"/>
      <c r="AC125" s="56"/>
      <c r="AD125" s="56"/>
      <c r="AE125" s="56"/>
      <c r="AF125" s="56"/>
      <c r="AG125" s="56"/>
      <c r="AH125" s="56"/>
      <c r="AI125" s="56"/>
      <c r="AJ125" s="56"/>
      <c r="AK125" s="56"/>
      <c r="AL125" s="56"/>
      <c r="AM125" s="56"/>
      <c r="AN125" s="56"/>
      <c r="AO125" s="56"/>
    </row>
    <row r="126" spans="1:41">
      <c r="A126" s="56"/>
      <c r="B126" s="56"/>
      <c r="C126" s="56"/>
      <c r="D126" s="56"/>
      <c r="E126" s="56"/>
      <c r="F126" s="56"/>
      <c r="G126" s="56"/>
      <c r="H126" s="56"/>
      <c r="I126" s="56"/>
      <c r="J126" s="56"/>
      <c r="K126" s="56"/>
      <c r="L126" s="56"/>
      <c r="M126" s="56"/>
      <c r="N126" s="56"/>
      <c r="O126" s="56"/>
      <c r="P126" s="56"/>
      <c r="Q126" s="56"/>
      <c r="R126" s="56"/>
      <c r="S126" s="56"/>
      <c r="T126" s="56"/>
      <c r="U126" s="56"/>
      <c r="V126" s="56"/>
      <c r="W126" s="56"/>
      <c r="X126" s="56"/>
      <c r="Y126" s="56"/>
      <c r="Z126" s="56"/>
      <c r="AA126" s="56"/>
      <c r="AB126" s="131"/>
      <c r="AC126" s="56"/>
      <c r="AD126" s="56"/>
      <c r="AE126" s="56"/>
      <c r="AF126" s="56"/>
      <c r="AG126" s="56"/>
      <c r="AH126" s="56"/>
      <c r="AI126" s="56"/>
      <c r="AJ126" s="56"/>
      <c r="AK126" s="56"/>
      <c r="AL126" s="56"/>
      <c r="AM126" s="56"/>
      <c r="AN126" s="56"/>
      <c r="AO126" s="56"/>
    </row>
    <row r="127" spans="1:41">
      <c r="A127" s="56"/>
      <c r="B127" s="56"/>
      <c r="C127" s="56"/>
      <c r="D127" s="56"/>
      <c r="E127" s="56"/>
      <c r="F127" s="56"/>
      <c r="G127" s="56"/>
      <c r="H127" s="56"/>
      <c r="I127" s="56"/>
      <c r="J127" s="56"/>
      <c r="K127" s="56"/>
      <c r="L127" s="56"/>
      <c r="M127" s="56"/>
      <c r="N127" s="56"/>
      <c r="O127" s="56"/>
      <c r="P127" s="56"/>
      <c r="Q127" s="56"/>
      <c r="R127" s="56"/>
      <c r="S127" s="56"/>
      <c r="T127" s="56"/>
      <c r="U127" s="56"/>
      <c r="V127" s="56"/>
      <c r="W127" s="56"/>
      <c r="X127" s="56"/>
      <c r="Y127" s="56"/>
      <c r="Z127" s="56"/>
      <c r="AA127" s="56"/>
      <c r="AB127" s="131"/>
      <c r="AC127" s="56"/>
      <c r="AD127" s="56"/>
      <c r="AE127" s="56"/>
      <c r="AF127" s="56"/>
      <c r="AG127" s="56"/>
      <c r="AH127" s="56"/>
      <c r="AI127" s="56"/>
      <c r="AJ127" s="56"/>
      <c r="AK127" s="56"/>
      <c r="AL127" s="56"/>
      <c r="AM127" s="56"/>
      <c r="AN127" s="56"/>
      <c r="AO127" s="56"/>
    </row>
    <row r="128" spans="1:41">
      <c r="A128" s="56"/>
      <c r="B128" s="56"/>
      <c r="C128" s="56"/>
      <c r="D128" s="56"/>
      <c r="E128" s="56"/>
      <c r="F128" s="56"/>
      <c r="G128" s="56"/>
      <c r="H128" s="56"/>
      <c r="I128" s="56"/>
      <c r="J128" s="56"/>
      <c r="K128" s="56"/>
      <c r="L128" s="56"/>
      <c r="M128" s="56"/>
      <c r="N128" s="56"/>
      <c r="O128" s="56"/>
      <c r="P128" s="56"/>
      <c r="Q128" s="56"/>
      <c r="R128" s="56"/>
      <c r="S128" s="56"/>
      <c r="T128" s="56"/>
      <c r="U128" s="56"/>
      <c r="V128" s="56"/>
      <c r="W128" s="56"/>
      <c r="X128" s="56"/>
      <c r="Y128" s="56"/>
      <c r="Z128" s="56"/>
      <c r="AA128" s="56"/>
      <c r="AB128" s="131"/>
      <c r="AC128" s="56"/>
      <c r="AD128" s="56"/>
      <c r="AE128" s="56"/>
      <c r="AF128" s="56"/>
      <c r="AG128" s="56"/>
      <c r="AH128" s="56"/>
      <c r="AI128" s="56"/>
      <c r="AJ128" s="56"/>
      <c r="AK128" s="56"/>
      <c r="AL128" s="56"/>
      <c r="AM128" s="56"/>
      <c r="AN128" s="56"/>
      <c r="AO128" s="56"/>
    </row>
    <row r="129" spans="1:41">
      <c r="A129" s="56"/>
      <c r="B129" s="56"/>
      <c r="C129" s="56"/>
      <c r="D129" s="56"/>
      <c r="E129" s="56"/>
      <c r="F129" s="56"/>
      <c r="G129" s="56"/>
      <c r="H129" s="56"/>
      <c r="I129" s="56"/>
      <c r="J129" s="56"/>
      <c r="K129" s="56"/>
      <c r="L129" s="56"/>
      <c r="M129" s="56"/>
      <c r="N129" s="56"/>
      <c r="O129" s="56"/>
      <c r="P129" s="56"/>
      <c r="Q129" s="56"/>
      <c r="R129" s="56"/>
      <c r="S129" s="56"/>
      <c r="T129" s="56"/>
      <c r="U129" s="56"/>
      <c r="V129" s="56"/>
      <c r="W129" s="56"/>
      <c r="X129" s="56"/>
      <c r="Y129" s="56"/>
      <c r="Z129" s="56"/>
      <c r="AA129" s="56"/>
      <c r="AB129" s="131"/>
      <c r="AC129" s="56"/>
      <c r="AD129" s="56"/>
      <c r="AE129" s="56"/>
      <c r="AF129" s="56"/>
      <c r="AG129" s="56"/>
      <c r="AH129" s="56"/>
      <c r="AI129" s="56"/>
      <c r="AJ129" s="56"/>
      <c r="AK129" s="56"/>
      <c r="AL129" s="56"/>
      <c r="AM129" s="56"/>
      <c r="AN129" s="56"/>
      <c r="AO129" s="56"/>
    </row>
    <row r="130" spans="1:41">
      <c r="A130" s="56"/>
      <c r="B130" s="56"/>
      <c r="C130" s="56"/>
      <c r="D130" s="56"/>
      <c r="E130" s="56"/>
      <c r="F130" s="56"/>
      <c r="G130" s="56"/>
      <c r="H130" s="56"/>
      <c r="I130" s="56"/>
      <c r="J130" s="56"/>
      <c r="K130" s="56"/>
      <c r="L130" s="56"/>
      <c r="M130" s="56"/>
      <c r="N130" s="56"/>
      <c r="O130" s="56"/>
      <c r="P130" s="56"/>
      <c r="Q130" s="56"/>
      <c r="R130" s="56"/>
      <c r="S130" s="56"/>
      <c r="T130" s="56"/>
      <c r="U130" s="56"/>
      <c r="V130" s="56"/>
      <c r="W130" s="56"/>
      <c r="X130" s="56"/>
      <c r="Y130" s="56"/>
      <c r="Z130" s="56"/>
      <c r="AA130" s="56"/>
      <c r="AB130" s="131"/>
      <c r="AC130" s="56"/>
      <c r="AD130" s="56"/>
      <c r="AE130" s="56"/>
      <c r="AF130" s="56"/>
      <c r="AG130" s="56"/>
      <c r="AH130" s="56"/>
      <c r="AI130" s="56"/>
      <c r="AJ130" s="56"/>
      <c r="AK130" s="56"/>
      <c r="AL130" s="56"/>
      <c r="AM130" s="56"/>
      <c r="AN130" s="56"/>
      <c r="AO130" s="56"/>
    </row>
    <row r="131" spans="1:41">
      <c r="A131" s="56"/>
      <c r="B131" s="56"/>
      <c r="C131" s="56"/>
      <c r="D131" s="56"/>
      <c r="E131" s="56"/>
      <c r="F131" s="56"/>
      <c r="G131" s="56"/>
      <c r="H131" s="56"/>
      <c r="I131" s="56"/>
      <c r="J131" s="56"/>
      <c r="K131" s="56"/>
      <c r="L131" s="56"/>
      <c r="M131" s="56"/>
      <c r="N131" s="56"/>
      <c r="O131" s="56"/>
      <c r="P131" s="56"/>
      <c r="Q131" s="56"/>
      <c r="R131" s="56"/>
      <c r="S131" s="56"/>
      <c r="T131" s="56"/>
      <c r="U131" s="56"/>
      <c r="V131" s="56"/>
      <c r="W131" s="56"/>
      <c r="X131" s="56"/>
      <c r="Y131" s="56"/>
      <c r="Z131" s="56"/>
      <c r="AA131" s="56"/>
      <c r="AB131" s="131"/>
      <c r="AC131" s="56"/>
      <c r="AD131" s="56"/>
      <c r="AE131" s="56"/>
      <c r="AF131" s="56"/>
      <c r="AG131" s="56"/>
      <c r="AH131" s="56"/>
      <c r="AI131" s="56"/>
      <c r="AJ131" s="56"/>
      <c r="AK131" s="56"/>
      <c r="AL131" s="56"/>
      <c r="AM131" s="56"/>
      <c r="AN131" s="56"/>
      <c r="AO131" s="56"/>
    </row>
    <row r="132" spans="1:41">
      <c r="A132" s="56"/>
      <c r="B132" s="56"/>
      <c r="C132" s="56"/>
      <c r="D132" s="56"/>
      <c r="E132" s="56"/>
      <c r="F132" s="56"/>
      <c r="G132" s="56"/>
      <c r="H132" s="56"/>
      <c r="I132" s="56"/>
      <c r="J132" s="56"/>
      <c r="K132" s="56"/>
      <c r="L132" s="56"/>
      <c r="M132" s="56"/>
      <c r="N132" s="56"/>
      <c r="O132" s="56"/>
      <c r="P132" s="56"/>
      <c r="Q132" s="56"/>
      <c r="R132" s="56"/>
      <c r="S132" s="56"/>
      <c r="T132" s="56"/>
      <c r="U132" s="56"/>
      <c r="V132" s="56"/>
      <c r="W132" s="56"/>
      <c r="X132" s="56"/>
      <c r="Y132" s="56"/>
      <c r="Z132" s="56"/>
      <c r="AA132" s="56"/>
      <c r="AB132" s="131"/>
      <c r="AC132" s="56"/>
      <c r="AD132" s="56"/>
      <c r="AE132" s="56"/>
      <c r="AF132" s="56"/>
      <c r="AG132" s="56"/>
      <c r="AH132" s="56"/>
      <c r="AI132" s="56"/>
      <c r="AJ132" s="56"/>
      <c r="AK132" s="56"/>
      <c r="AL132" s="56"/>
      <c r="AM132" s="56"/>
      <c r="AN132" s="56"/>
      <c r="AO132" s="56"/>
    </row>
    <row r="133" spans="1:41">
      <c r="A133" s="56"/>
      <c r="B133" s="56"/>
      <c r="C133" s="56"/>
      <c r="D133" s="56"/>
      <c r="E133" s="56"/>
      <c r="F133" s="56"/>
      <c r="G133" s="56"/>
      <c r="H133" s="56"/>
      <c r="I133" s="56"/>
      <c r="J133" s="56"/>
      <c r="K133" s="56"/>
      <c r="L133" s="56"/>
      <c r="M133" s="56"/>
      <c r="N133" s="56"/>
      <c r="O133" s="56"/>
      <c r="P133" s="56"/>
      <c r="Q133" s="56"/>
      <c r="R133" s="56"/>
      <c r="S133" s="56"/>
      <c r="T133" s="56"/>
      <c r="U133" s="56"/>
      <c r="V133" s="56"/>
      <c r="W133" s="56"/>
      <c r="X133" s="56"/>
      <c r="Y133" s="56"/>
      <c r="Z133" s="56"/>
      <c r="AA133" s="56"/>
      <c r="AB133" s="131"/>
      <c r="AC133" s="56"/>
      <c r="AD133" s="56"/>
      <c r="AE133" s="56"/>
      <c r="AF133" s="56"/>
      <c r="AG133" s="56"/>
      <c r="AH133" s="56"/>
      <c r="AI133" s="56"/>
      <c r="AJ133" s="56"/>
      <c r="AK133" s="56"/>
      <c r="AL133" s="56"/>
      <c r="AM133" s="56"/>
      <c r="AN133" s="56"/>
      <c r="AO133" s="56"/>
    </row>
    <row r="134" spans="1:41">
      <c r="A134" s="56"/>
      <c r="B134" s="56"/>
      <c r="C134" s="56"/>
      <c r="D134" s="56"/>
      <c r="E134" s="56"/>
      <c r="F134" s="56"/>
      <c r="G134" s="56"/>
      <c r="H134" s="56"/>
      <c r="I134" s="56"/>
      <c r="J134" s="56"/>
      <c r="K134" s="56"/>
      <c r="L134" s="56"/>
      <c r="M134" s="56"/>
      <c r="N134" s="56"/>
      <c r="O134" s="56"/>
      <c r="P134" s="56"/>
      <c r="Q134" s="56"/>
      <c r="R134" s="56"/>
      <c r="S134" s="56"/>
      <c r="T134" s="56"/>
      <c r="U134" s="56"/>
      <c r="V134" s="56"/>
      <c r="W134" s="56"/>
      <c r="X134" s="56"/>
      <c r="Y134" s="56"/>
      <c r="Z134" s="56"/>
      <c r="AA134" s="56"/>
      <c r="AB134" s="131"/>
      <c r="AC134" s="56"/>
      <c r="AD134" s="56"/>
      <c r="AE134" s="56"/>
      <c r="AF134" s="56"/>
      <c r="AG134" s="56"/>
      <c r="AH134" s="56"/>
      <c r="AI134" s="56"/>
      <c r="AJ134" s="56"/>
      <c r="AK134" s="56"/>
      <c r="AL134" s="56"/>
      <c r="AM134" s="56"/>
      <c r="AN134" s="56"/>
      <c r="AO134" s="56"/>
    </row>
    <row r="135" spans="1:41">
      <c r="A135" s="56"/>
      <c r="B135" s="56"/>
      <c r="C135" s="56"/>
      <c r="D135" s="56"/>
      <c r="E135" s="56"/>
      <c r="F135" s="56"/>
      <c r="G135" s="56"/>
      <c r="H135" s="56"/>
      <c r="I135" s="56"/>
      <c r="J135" s="56"/>
      <c r="K135" s="56"/>
      <c r="L135" s="56"/>
      <c r="M135" s="56"/>
      <c r="N135" s="56"/>
      <c r="O135" s="56"/>
      <c r="P135" s="56"/>
      <c r="Q135" s="56"/>
      <c r="R135" s="56"/>
      <c r="S135" s="56"/>
      <c r="T135" s="56"/>
      <c r="U135" s="56"/>
      <c r="V135" s="56"/>
      <c r="W135" s="56"/>
      <c r="X135" s="56"/>
      <c r="Y135" s="56"/>
      <c r="Z135" s="56"/>
      <c r="AA135" s="56"/>
      <c r="AB135" s="131"/>
      <c r="AC135" s="56"/>
      <c r="AD135" s="56"/>
      <c r="AE135" s="56"/>
      <c r="AF135" s="56"/>
      <c r="AG135" s="56"/>
      <c r="AH135" s="56"/>
      <c r="AI135" s="56"/>
      <c r="AJ135" s="56"/>
      <c r="AK135" s="56"/>
      <c r="AL135" s="56"/>
      <c r="AM135" s="56"/>
      <c r="AN135" s="56"/>
      <c r="AO135" s="56"/>
    </row>
  </sheetData>
  <sheetProtection algorithmName="SHA-512" hashValue="kBbO4RUSM+mCt7VrZwdToBt1UsyNIIFh4SrpQtRm3n7oy5BlOQO66dCbnq+jsX+pCTejZtTZFcYjuriIpp3/fg==" saltValue="SbotFYsZ3lh+C4kiryTQuQ==" spinCount="100000" sheet="1" objects="1" scenarios="1" selectLockedCells="1"/>
  <protectedRanges>
    <protectedRange sqref="AB24" name="Område1"/>
  </protectedRanges>
  <dataConsolidate function="stdDev"/>
  <mergeCells count="41">
    <mergeCell ref="Z16:AC16"/>
    <mergeCell ref="A16:V16"/>
    <mergeCell ref="N26:Z26"/>
    <mergeCell ref="E7:L7"/>
    <mergeCell ref="N7:W7"/>
    <mergeCell ref="X7:AB7"/>
    <mergeCell ref="N24:Z24"/>
    <mergeCell ref="J13:K13"/>
    <mergeCell ref="W13:AB13"/>
    <mergeCell ref="A12:D12"/>
    <mergeCell ref="E9:J9"/>
    <mergeCell ref="A21:I21"/>
    <mergeCell ref="A11:D11"/>
    <mergeCell ref="V48:AA48"/>
    <mergeCell ref="A23:I23"/>
    <mergeCell ref="X43:Z43"/>
    <mergeCell ref="V45:AA45"/>
    <mergeCell ref="V47:AA47"/>
    <mergeCell ref="C46:Q46"/>
    <mergeCell ref="C45:Q45"/>
    <mergeCell ref="C40:Z42"/>
    <mergeCell ref="A36:AA36"/>
    <mergeCell ref="J33:U33"/>
    <mergeCell ref="L28:Z28"/>
    <mergeCell ref="AA1:AB1"/>
    <mergeCell ref="X4:AC4"/>
    <mergeCell ref="X1:Z1"/>
    <mergeCell ref="E11:W11"/>
    <mergeCell ref="E12:W12"/>
    <mergeCell ref="E10:W10"/>
    <mergeCell ref="A3:D3"/>
    <mergeCell ref="E5:W5"/>
    <mergeCell ref="E6:W6"/>
    <mergeCell ref="A1:W1"/>
    <mergeCell ref="A4:D4"/>
    <mergeCell ref="E4:W4"/>
    <mergeCell ref="AK2:AN2"/>
    <mergeCell ref="X5:AB5"/>
    <mergeCell ref="X6:AB6"/>
    <mergeCell ref="X3:AC3"/>
    <mergeCell ref="E3:W3"/>
  </mergeCells>
  <phoneticPr fontId="0" type="noConversion"/>
  <dataValidations xWindow="164" yWindow="347" count="1">
    <dataValidation type="list" showInputMessage="1" showErrorMessage="1" errorTitle="Enbart enligt lista" error="Ej giltigt namn" sqref="AI3 AM20:AM23 AL19:AM19" xr:uid="{00000000-0002-0000-0400-000000000000}">
      <formula1>$AD$4:$AD$5</formula1>
    </dataValidation>
  </dataValidations>
  <pageMargins left="0.70866141732283472" right="0" top="0.59055118110236227" bottom="0.59055118110236227" header="0.51181102362204722" footer="0.51181102362204722"/>
  <pageSetup paperSize="9" scale="94" orientation="portrait" blackAndWhite="1" r:id="rId1"/>
  <headerFooter alignWithMargins="0"/>
  <colBreaks count="1" manualBreakCount="1">
    <brk id="28" max="42" man="1"/>
  </colBreaks>
  <legacyDrawing r:id="rId2"/>
  <tableParts count="2">
    <tablePart r:id="rId3"/>
    <tablePart r:id="rId4"/>
  </tableParts>
  <extLst>
    <ext xmlns:x14="http://schemas.microsoft.com/office/spreadsheetml/2009/9/main" uri="{CCE6A557-97BC-4b89-ADB6-D9C93CAAB3DF}">
      <x14:dataValidations xmlns:xm="http://schemas.microsoft.com/office/excel/2006/main" xWindow="164" yWindow="347" count="2">
        <x14:dataValidation type="list" showInputMessage="1" showErrorMessage="1" xr:uid="{00000000-0002-0000-0400-000001000000}">
          <x14:formula1>
            <xm:f>Indata!$K$3:$K41</xm:f>
          </x14:formula1>
          <xm:sqref>J13:K13</xm:sqref>
        </x14:dataValidation>
        <x14:dataValidation type="list" allowBlank="1" showInputMessage="1" showErrorMessage="1" xr:uid="{00000000-0002-0000-0400-000002000000}">
          <x14:formula1>
            <xm:f>Indata!$Q$23:$Q$26</xm:f>
          </x14:formula1>
          <xm:sqref>Y19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41">
    <tabColor rgb="FFFFFF00"/>
    <pageSetUpPr autoPageBreaks="0"/>
  </sheetPr>
  <dimension ref="A1:AO159"/>
  <sheetViews>
    <sheetView zoomScale="110" zoomScaleNormal="110" workbookViewId="0" xr3:uid="{78B4E459-6924-5F8B-B7BA-2DD04133E49E}">
      <selection activeCell="C5" sqref="C5"/>
    </sheetView>
  </sheetViews>
  <sheetFormatPr defaultRowHeight="12.75"/>
  <cols>
    <col min="1" max="1" width="12.42578125" customWidth="1"/>
    <col min="2" max="2" width="4.42578125" customWidth="1"/>
    <col min="3" max="3" width="7.140625" customWidth="1"/>
    <col min="4" max="4" width="2.85546875" customWidth="1"/>
    <col min="5" max="7" width="4.42578125" customWidth="1"/>
    <col min="8" max="8" width="7.140625" customWidth="1"/>
    <col min="9" max="9" width="4.28515625" customWidth="1"/>
    <col min="10" max="10" width="6.7109375" customWidth="1"/>
    <col min="11" max="13" width="7.28515625" customWidth="1"/>
    <col min="14" max="14" width="11.28515625" customWidth="1"/>
    <col min="16" max="16" width="4.28515625" customWidth="1"/>
    <col min="17" max="17" width="1" customWidth="1"/>
    <col min="18" max="25" width="12.7109375" hidden="1" customWidth="1"/>
    <col min="26" max="26" width="12.7109375" customWidth="1"/>
  </cols>
  <sheetData>
    <row r="1" spans="1:41" ht="36.75" customHeight="1" thickBot="1">
      <c r="A1" s="375" t="s">
        <v>289</v>
      </c>
      <c r="B1" s="376"/>
      <c r="C1" s="376"/>
      <c r="D1" s="376"/>
      <c r="E1" s="8"/>
      <c r="F1" s="8"/>
      <c r="G1" s="8"/>
      <c r="H1" s="500">
        <v>44562</v>
      </c>
      <c r="I1" s="501"/>
      <c r="J1" s="8"/>
      <c r="K1" s="372" t="s">
        <v>245</v>
      </c>
      <c r="L1" s="373"/>
      <c r="M1" s="373"/>
      <c r="N1" s="374"/>
      <c r="O1" s="9"/>
      <c r="P1" s="9"/>
      <c r="Q1" s="9"/>
      <c r="R1" s="9"/>
      <c r="S1" s="9"/>
      <c r="T1" s="9"/>
      <c r="U1" s="9"/>
      <c r="V1" s="9"/>
      <c r="W1" s="9"/>
      <c r="X1" s="9"/>
      <c r="Y1" s="10" t="s">
        <v>290</v>
      </c>
      <c r="Z1" s="9"/>
      <c r="AA1" s="9"/>
      <c r="AB1" s="9"/>
      <c r="AC1" s="9"/>
      <c r="AD1" s="9"/>
      <c r="AE1" s="9"/>
      <c r="AF1" s="9"/>
      <c r="AG1" s="9"/>
      <c r="AH1" s="9"/>
      <c r="AI1" s="9"/>
      <c r="AJ1" s="9"/>
      <c r="AK1" s="9"/>
      <c r="AL1" s="9"/>
      <c r="AM1" s="9"/>
      <c r="AN1" s="9"/>
      <c r="AO1" s="9"/>
    </row>
    <row r="2" spans="1:41" ht="15" customHeight="1" thickTop="1">
      <c r="A2" s="11"/>
      <c r="B2" s="12"/>
      <c r="C2" s="12"/>
      <c r="D2" s="12"/>
      <c r="E2" s="12"/>
      <c r="F2" s="12"/>
      <c r="G2" s="12"/>
      <c r="H2" s="12"/>
      <c r="I2" s="12"/>
      <c r="J2" s="12"/>
      <c r="K2" s="13"/>
      <c r="L2" s="13"/>
      <c r="M2" s="14"/>
      <c r="N2" s="15"/>
      <c r="O2" s="9"/>
      <c r="P2" s="9"/>
      <c r="Q2" s="9"/>
      <c r="R2" s="9"/>
      <c r="S2" s="9"/>
      <c r="T2" s="9"/>
      <c r="U2" s="9"/>
      <c r="V2" s="9"/>
      <c r="W2" s="9"/>
      <c r="X2" s="9"/>
      <c r="Y2" s="10" t="s">
        <v>291</v>
      </c>
      <c r="Z2" s="9"/>
      <c r="AA2" s="9"/>
      <c r="AB2" s="9"/>
      <c r="AC2" s="9"/>
      <c r="AD2" s="9"/>
      <c r="AE2" s="9"/>
      <c r="AF2" s="9"/>
      <c r="AG2" s="9"/>
      <c r="AH2" s="9"/>
      <c r="AI2" s="9"/>
      <c r="AJ2" s="9"/>
      <c r="AK2" s="9"/>
      <c r="AL2" s="9"/>
      <c r="AM2" s="9"/>
      <c r="AN2" s="9"/>
      <c r="AO2" s="9"/>
    </row>
    <row r="3" spans="1:41" ht="15" customHeight="1">
      <c r="A3" s="16" t="s">
        <v>247</v>
      </c>
      <c r="B3" s="377" t="str">
        <f>IF(Sammandrag!E3&gt;0,Sammandrag!E3,"")</f>
        <v/>
      </c>
      <c r="C3" s="377"/>
      <c r="D3" s="377"/>
      <c r="E3" s="377"/>
      <c r="F3" s="377"/>
      <c r="G3" s="377"/>
      <c r="H3" s="377"/>
      <c r="I3" s="377"/>
      <c r="J3" s="116"/>
      <c r="K3" s="115" t="s">
        <v>292</v>
      </c>
      <c r="L3" s="13"/>
      <c r="M3" s="14"/>
      <c r="N3" s="15"/>
      <c r="O3" s="9"/>
      <c r="P3" s="9"/>
      <c r="Q3" s="9"/>
      <c r="R3" s="9"/>
      <c r="S3" s="9"/>
      <c r="T3" s="9"/>
      <c r="U3" s="9"/>
      <c r="V3" s="9"/>
      <c r="W3" s="9"/>
      <c r="X3" s="9"/>
      <c r="Y3" s="10" t="s">
        <v>293</v>
      </c>
      <c r="Z3" s="9"/>
      <c r="AA3" s="9"/>
      <c r="AB3" s="9"/>
      <c r="AC3" s="9"/>
      <c r="AD3" s="9"/>
      <c r="AE3" s="9"/>
      <c r="AF3" s="9"/>
      <c r="AG3" s="9"/>
      <c r="AH3" s="9"/>
      <c r="AI3" s="9"/>
      <c r="AJ3" s="9"/>
      <c r="AK3" s="9"/>
      <c r="AL3" s="9"/>
      <c r="AM3" s="9"/>
      <c r="AN3" s="9"/>
      <c r="AO3" s="9"/>
    </row>
    <row r="4" spans="1:41" ht="13.5" thickBot="1">
      <c r="A4" s="17"/>
      <c r="B4" s="12"/>
      <c r="C4" s="18"/>
      <c r="D4" s="18"/>
      <c r="E4" s="18"/>
      <c r="F4" s="18"/>
      <c r="G4" s="12"/>
      <c r="H4" s="12"/>
      <c r="I4" s="18"/>
      <c r="J4" s="14"/>
      <c r="K4" s="115" t="s">
        <v>294</v>
      </c>
      <c r="L4" s="13"/>
      <c r="M4" s="14"/>
      <c r="N4" s="15"/>
      <c r="O4" s="9"/>
      <c r="P4" s="9"/>
      <c r="Q4" s="9"/>
      <c r="R4" s="9"/>
      <c r="S4" s="9" t="s">
        <v>295</v>
      </c>
      <c r="T4" s="9"/>
      <c r="U4" s="9"/>
      <c r="V4" s="9" t="s">
        <v>296</v>
      </c>
      <c r="W4" s="9" t="s">
        <v>297</v>
      </c>
      <c r="X4" s="9" t="s">
        <v>298</v>
      </c>
      <c r="Y4" s="10" t="s">
        <v>299</v>
      </c>
      <c r="Z4" s="9"/>
      <c r="AA4" s="9"/>
      <c r="AB4" s="9"/>
      <c r="AC4" s="9"/>
      <c r="AD4" s="9"/>
      <c r="AE4" s="9"/>
      <c r="AF4" s="9"/>
      <c r="AG4" s="9"/>
      <c r="AH4" s="9"/>
      <c r="AI4" s="9"/>
      <c r="AJ4" s="9"/>
      <c r="AK4" s="9"/>
      <c r="AL4" s="9"/>
      <c r="AM4" s="9"/>
      <c r="AN4" s="9"/>
      <c r="AO4" s="9"/>
    </row>
    <row r="5" spans="1:41" ht="13.5" thickBot="1">
      <c r="A5" s="19" t="s">
        <v>300</v>
      </c>
      <c r="B5" s="336"/>
      <c r="C5" s="2"/>
      <c r="D5" s="502"/>
      <c r="E5" s="502"/>
      <c r="F5" s="502"/>
      <c r="G5" s="51" t="s">
        <v>301</v>
      </c>
      <c r="H5" s="90">
        <v>313.19</v>
      </c>
      <c r="I5" s="502" t="s">
        <v>302</v>
      </c>
      <c r="J5" s="123">
        <v>370</v>
      </c>
      <c r="K5" s="20"/>
      <c r="L5" s="20"/>
      <c r="M5" s="20"/>
      <c r="N5" s="21"/>
      <c r="O5" s="9"/>
      <c r="P5" s="9"/>
      <c r="Q5" s="9"/>
      <c r="R5" s="9" t="s">
        <v>303</v>
      </c>
      <c r="S5" s="9"/>
      <c r="T5" s="9"/>
      <c r="U5" s="9"/>
      <c r="V5" s="9"/>
      <c r="W5" s="9"/>
      <c r="X5" s="9"/>
      <c r="Y5" s="10"/>
      <c r="Z5" s="9"/>
      <c r="AA5" s="9"/>
      <c r="AB5" s="9"/>
      <c r="AC5" s="9"/>
      <c r="AD5" s="9"/>
      <c r="AE5" s="9"/>
      <c r="AF5" s="9"/>
      <c r="AG5" s="9"/>
      <c r="AH5" s="9"/>
      <c r="AI5" s="9"/>
      <c r="AJ5" s="9"/>
      <c r="AK5" s="9"/>
      <c r="AL5" s="9"/>
      <c r="AM5" s="9"/>
      <c r="AN5" s="9"/>
      <c r="AO5" s="9"/>
    </row>
    <row r="6" spans="1:41">
      <c r="A6" s="378"/>
      <c r="B6" s="503"/>
      <c r="C6" s="503"/>
      <c r="D6" s="503"/>
      <c r="E6" s="503"/>
      <c r="F6" s="503"/>
      <c r="G6" s="503"/>
      <c r="H6" s="503"/>
      <c r="I6" s="503"/>
      <c r="J6" s="504"/>
      <c r="K6" s="22" t="s">
        <v>304</v>
      </c>
      <c r="L6" s="23" t="s">
        <v>305</v>
      </c>
      <c r="M6" s="24" t="s">
        <v>306</v>
      </c>
      <c r="N6" s="25" t="s">
        <v>307</v>
      </c>
      <c r="O6" s="9"/>
      <c r="P6" s="9"/>
      <c r="Q6" s="9"/>
      <c r="R6" s="9"/>
      <c r="S6" s="9"/>
      <c r="T6" s="9"/>
      <c r="U6" s="9"/>
      <c r="V6" s="9"/>
      <c r="W6" s="9"/>
      <c r="X6" s="9"/>
      <c r="Y6" s="10"/>
      <c r="Z6" s="9"/>
      <c r="AA6" s="9"/>
      <c r="AB6" s="9"/>
      <c r="AC6" s="9"/>
      <c r="AD6" s="9"/>
      <c r="AE6" s="9"/>
      <c r="AF6" s="9"/>
      <c r="AG6" s="9"/>
      <c r="AH6" s="9"/>
      <c r="AI6" s="9"/>
      <c r="AJ6" s="9"/>
      <c r="AK6" s="9"/>
      <c r="AL6" s="9"/>
      <c r="AM6" s="9"/>
      <c r="AN6" s="9"/>
      <c r="AO6" s="9"/>
    </row>
    <row r="7" spans="1:41">
      <c r="A7" s="505"/>
      <c r="B7" s="506"/>
      <c r="C7" s="506"/>
      <c r="D7" s="506"/>
      <c r="E7" s="506"/>
      <c r="F7" s="506"/>
      <c r="G7" s="506"/>
      <c r="H7" s="506"/>
      <c r="I7" s="506"/>
      <c r="J7" s="507"/>
      <c r="K7" s="54" t="s">
        <v>308</v>
      </c>
      <c r="L7" s="26" t="s">
        <v>309</v>
      </c>
      <c r="M7" s="27" t="s">
        <v>310</v>
      </c>
      <c r="N7" s="28" t="s">
        <v>310</v>
      </c>
      <c r="O7" s="9"/>
      <c r="P7" s="9"/>
      <c r="Q7" s="9"/>
      <c r="R7" s="9"/>
      <c r="S7" s="9"/>
      <c r="T7" s="9"/>
      <c r="U7" s="9"/>
      <c r="V7" s="9"/>
      <c r="W7" s="9"/>
      <c r="X7" s="9"/>
      <c r="Y7" s="10"/>
      <c r="Z7" s="9"/>
      <c r="AA7" s="9"/>
      <c r="AB7" s="9"/>
      <c r="AC7" s="9"/>
      <c r="AD7" s="9"/>
      <c r="AE7" s="9"/>
      <c r="AF7" s="9"/>
      <c r="AG7" s="9"/>
      <c r="AH7" s="9"/>
      <c r="AI7" s="9"/>
      <c r="AJ7" s="9"/>
      <c r="AK7" s="9"/>
      <c r="AL7" s="9"/>
      <c r="AM7" s="9"/>
      <c r="AN7" s="9"/>
      <c r="AO7" s="9"/>
    </row>
    <row r="8" spans="1:41" ht="13.5" customHeight="1">
      <c r="A8" s="508"/>
      <c r="B8" s="509"/>
      <c r="C8" s="509"/>
      <c r="D8" s="510"/>
      <c r="E8" s="29" t="s">
        <v>311</v>
      </c>
      <c r="F8" s="34"/>
      <c r="G8" s="29" t="s">
        <v>312</v>
      </c>
      <c r="H8" s="34"/>
      <c r="I8" s="29" t="s">
        <v>313</v>
      </c>
      <c r="J8" s="34"/>
      <c r="K8" s="3"/>
      <c r="L8" s="4"/>
      <c r="M8" s="184">
        <f>IF($L8="B",$Y8,0)</f>
        <v>0</v>
      </c>
      <c r="N8" s="5">
        <f>IF($L8="N",$Y8,0)</f>
        <v>0</v>
      </c>
      <c r="O8" s="9"/>
      <c r="P8" s="9"/>
      <c r="Q8" s="9" t="e">
        <f>MATCH(C5&amp;F8&amp;H8,Sökbegr,0)</f>
        <v>#N/A</v>
      </c>
      <c r="R8" s="9" t="e">
        <f>INDEX(Ersättn,$Q$8)</f>
        <v>#N/A</v>
      </c>
      <c r="S8" s="7" t="e">
        <f>SUM(R8*J5/H5)</f>
        <v>#N/A</v>
      </c>
      <c r="T8" s="9" t="e">
        <f>MATCH(C5&amp;J8,Proddata,0)</f>
        <v>#N/A</v>
      </c>
      <c r="U8" s="9" t="e">
        <f t="shared" ref="U8:U50" si="0">INDEX(Procent,T8)</f>
        <v>#N/A</v>
      </c>
      <c r="V8" s="7" t="e">
        <f t="shared" ref="V8:V50" si="1">SUM(U8*S8)</f>
        <v>#N/A</v>
      </c>
      <c r="W8" s="7" t="e">
        <f t="shared" ref="W8:W50" si="2">SUM(S8*15%)</f>
        <v>#N/A</v>
      </c>
      <c r="X8" s="7" t="e">
        <f t="shared" ref="X8:X50" si="3">SUM(S8*10%)</f>
        <v>#N/A</v>
      </c>
      <c r="Y8" s="30">
        <f t="shared" ref="Y8:Y9" si="4">IF(K8="Å",V8,IF(K8="B",W8,IF(K8="I",X8,0)))</f>
        <v>0</v>
      </c>
      <c r="Z8" s="9"/>
      <c r="AA8" s="9"/>
      <c r="AB8" s="9"/>
      <c r="AC8" s="9"/>
      <c r="AD8" s="9"/>
      <c r="AE8" s="9"/>
      <c r="AF8" s="9"/>
      <c r="AG8" s="9"/>
      <c r="AH8" s="9"/>
      <c r="AI8" s="9"/>
      <c r="AJ8" s="9"/>
      <c r="AK8" s="9"/>
      <c r="AL8" s="9"/>
      <c r="AM8" s="9"/>
      <c r="AN8" s="9"/>
      <c r="AO8" s="9"/>
    </row>
    <row r="9" spans="1:41" ht="13.5" customHeight="1">
      <c r="A9" s="511"/>
      <c r="B9" s="512"/>
      <c r="C9" s="512"/>
      <c r="D9" s="513"/>
      <c r="E9" s="29" t="s">
        <v>311</v>
      </c>
      <c r="F9" s="34"/>
      <c r="G9" s="29" t="s">
        <v>312</v>
      </c>
      <c r="H9" s="34"/>
      <c r="I9" s="29" t="s">
        <v>313</v>
      </c>
      <c r="J9" s="34"/>
      <c r="K9" s="3"/>
      <c r="L9" s="4"/>
      <c r="M9" s="184">
        <f t="shared" ref="M9:M10" si="5">IF($L9="B",$Y9,0)</f>
        <v>0</v>
      </c>
      <c r="N9" s="5">
        <f>IF(L9="N",Y9,0)</f>
        <v>0</v>
      </c>
      <c r="O9" s="9"/>
      <c r="P9" s="9"/>
      <c r="Q9" s="9" t="e">
        <f>MATCH(C5&amp;F9&amp;H9,Sökbegr,0)</f>
        <v>#N/A</v>
      </c>
      <c r="R9" s="9" t="e">
        <f>INDEX(Ersättn,$Q$9)</f>
        <v>#N/A</v>
      </c>
      <c r="S9" s="7" t="e">
        <f>SUM(R9*J5/H5)</f>
        <v>#N/A</v>
      </c>
      <c r="T9" s="9" t="e">
        <f>MATCH(C5&amp;J9,Proddata,0)</f>
        <v>#N/A</v>
      </c>
      <c r="U9" s="9" t="e">
        <f t="shared" si="0"/>
        <v>#N/A</v>
      </c>
      <c r="V9" s="7" t="e">
        <f t="shared" si="1"/>
        <v>#N/A</v>
      </c>
      <c r="W9" s="7" t="e">
        <f t="shared" si="2"/>
        <v>#N/A</v>
      </c>
      <c r="X9" s="7" t="e">
        <f t="shared" si="3"/>
        <v>#N/A</v>
      </c>
      <c r="Y9" s="30">
        <f t="shared" si="4"/>
        <v>0</v>
      </c>
      <c r="Z9" s="9"/>
      <c r="AA9" s="9"/>
      <c r="AB9" s="9"/>
      <c r="AC9" s="9"/>
      <c r="AD9" s="9"/>
      <c r="AE9" s="9"/>
      <c r="AF9" s="9"/>
      <c r="AG9" s="9"/>
      <c r="AH9" s="9"/>
      <c r="AI9" s="9"/>
      <c r="AJ9" s="9"/>
      <c r="AK9" s="9"/>
      <c r="AL9" s="9"/>
      <c r="AM9" s="9"/>
      <c r="AN9" s="9"/>
      <c r="AO9" s="9"/>
    </row>
    <row r="10" spans="1:41" ht="13.5" customHeight="1">
      <c r="A10" s="511"/>
      <c r="B10" s="514"/>
      <c r="C10" s="514"/>
      <c r="D10" s="515"/>
      <c r="E10" s="29" t="s">
        <v>311</v>
      </c>
      <c r="F10" s="34"/>
      <c r="G10" s="29" t="s">
        <v>312</v>
      </c>
      <c r="H10" s="34"/>
      <c r="I10" s="29" t="s">
        <v>313</v>
      </c>
      <c r="J10" s="34"/>
      <c r="K10" s="3"/>
      <c r="L10" s="4"/>
      <c r="M10" s="184">
        <f t="shared" si="5"/>
        <v>0</v>
      </c>
      <c r="N10" s="5">
        <f>IF(L10="N",Y10,0)</f>
        <v>0</v>
      </c>
      <c r="O10" s="9"/>
      <c r="P10" s="9"/>
      <c r="Q10" s="9" t="e">
        <f>MATCH(C5&amp;F10&amp;H10,Sökbegr,0)</f>
        <v>#N/A</v>
      </c>
      <c r="R10" s="9" t="e">
        <f>INDEX(Ersättn,$Q$10)</f>
        <v>#N/A</v>
      </c>
      <c r="S10" s="7" t="e">
        <f>SUM(R10*J5/H5)</f>
        <v>#N/A</v>
      </c>
      <c r="T10" s="9" t="e">
        <f>MATCH(C5&amp;J10,Proddata,0)</f>
        <v>#N/A</v>
      </c>
      <c r="U10" s="9" t="e">
        <f t="shared" si="0"/>
        <v>#N/A</v>
      </c>
      <c r="V10" s="7" t="e">
        <f t="shared" si="1"/>
        <v>#N/A</v>
      </c>
      <c r="W10" s="7" t="e">
        <f t="shared" si="2"/>
        <v>#N/A</v>
      </c>
      <c r="X10" s="7" t="e">
        <f t="shared" si="3"/>
        <v>#N/A</v>
      </c>
      <c r="Y10" s="30">
        <f t="shared" ref="Y10:Y50" si="6">IF(K10="Å",V10,IF(K10="B",W10,IF(K10="I",X10,0)))</f>
        <v>0</v>
      </c>
      <c r="Z10" s="9"/>
      <c r="AA10" s="9"/>
      <c r="AB10" s="9"/>
      <c r="AC10" s="9"/>
      <c r="AD10" s="9"/>
      <c r="AE10" s="9"/>
      <c r="AF10" s="9"/>
      <c r="AG10" s="9"/>
      <c r="AH10" s="9"/>
      <c r="AI10" s="9"/>
      <c r="AJ10" s="9"/>
      <c r="AK10" s="9"/>
      <c r="AL10" s="9"/>
      <c r="AM10" s="9"/>
      <c r="AN10" s="9"/>
      <c r="AO10" s="9"/>
    </row>
    <row r="11" spans="1:41" ht="13.5" customHeight="1">
      <c r="A11" s="511"/>
      <c r="B11" s="512"/>
      <c r="C11" s="512"/>
      <c r="D11" s="513"/>
      <c r="E11" s="29" t="s">
        <v>311</v>
      </c>
      <c r="F11" s="34"/>
      <c r="G11" s="29" t="s">
        <v>312</v>
      </c>
      <c r="H11" s="34"/>
      <c r="I11" s="29" t="s">
        <v>313</v>
      </c>
      <c r="J11" s="34"/>
      <c r="K11" s="3"/>
      <c r="L11" s="4"/>
      <c r="M11" s="184">
        <f t="shared" ref="M11:M50" si="7">IF($L11="B",$Y11,0)</f>
        <v>0</v>
      </c>
      <c r="N11" s="5">
        <f>IF(L11="N",Y11,0)</f>
        <v>0</v>
      </c>
      <c r="O11" s="9"/>
      <c r="P11" s="9"/>
      <c r="Q11" s="9" t="e">
        <f>MATCH(C5&amp;F11&amp;H11,Sökbegr,0)</f>
        <v>#N/A</v>
      </c>
      <c r="R11" s="9" t="e">
        <f>INDEX(Ersättn,$Q$11)</f>
        <v>#N/A</v>
      </c>
      <c r="S11" s="7" t="e">
        <f>SUM(R11*J5/H5)</f>
        <v>#N/A</v>
      </c>
      <c r="T11" s="9" t="e">
        <f>MATCH(C5&amp;J11,Proddata,0)</f>
        <v>#N/A</v>
      </c>
      <c r="U11" s="9" t="e">
        <f t="shared" si="0"/>
        <v>#N/A</v>
      </c>
      <c r="V11" s="7" t="e">
        <f t="shared" si="1"/>
        <v>#N/A</v>
      </c>
      <c r="W11" s="7" t="e">
        <f t="shared" si="2"/>
        <v>#N/A</v>
      </c>
      <c r="X11" s="7" t="e">
        <f t="shared" si="3"/>
        <v>#N/A</v>
      </c>
      <c r="Y11" s="30">
        <f t="shared" si="6"/>
        <v>0</v>
      </c>
      <c r="Z11" s="9"/>
      <c r="AA11" s="9"/>
      <c r="AB11" s="9"/>
      <c r="AC11" s="9"/>
      <c r="AD11" s="9"/>
      <c r="AE11" s="9"/>
      <c r="AF11" s="9"/>
      <c r="AG11" s="9"/>
      <c r="AH11" s="9"/>
      <c r="AI11" s="9"/>
      <c r="AJ11" s="9"/>
      <c r="AK11" s="9"/>
      <c r="AL11" s="9"/>
      <c r="AM11" s="9"/>
      <c r="AN11" s="9"/>
      <c r="AO11" s="9"/>
    </row>
    <row r="12" spans="1:41" ht="13.5" customHeight="1">
      <c r="A12" s="511"/>
      <c r="B12" s="512"/>
      <c r="C12" s="512"/>
      <c r="D12" s="513"/>
      <c r="E12" s="29" t="s">
        <v>311</v>
      </c>
      <c r="F12" s="34"/>
      <c r="G12" s="29" t="s">
        <v>312</v>
      </c>
      <c r="H12" s="34"/>
      <c r="I12" s="29" t="s">
        <v>313</v>
      </c>
      <c r="J12" s="34"/>
      <c r="K12" s="3"/>
      <c r="L12" s="4"/>
      <c r="M12" s="184">
        <f t="shared" si="7"/>
        <v>0</v>
      </c>
      <c r="N12" s="5">
        <f>IF(L12="N",Y12,0)</f>
        <v>0</v>
      </c>
      <c r="O12" s="9"/>
      <c r="P12" s="9"/>
      <c r="Q12" s="9" t="e">
        <f>MATCH(C5&amp;F12&amp;H12,Sökbegr,0)</f>
        <v>#N/A</v>
      </c>
      <c r="R12" s="9" t="e">
        <f>INDEX(Ersättn,$Q$12)</f>
        <v>#N/A</v>
      </c>
      <c r="S12" s="7" t="e">
        <f>SUM(R12*J5/H5)</f>
        <v>#N/A</v>
      </c>
      <c r="T12" s="9" t="e">
        <f>MATCH(C5&amp;J12,Proddata,0)</f>
        <v>#N/A</v>
      </c>
      <c r="U12" s="9" t="e">
        <f t="shared" si="0"/>
        <v>#N/A</v>
      </c>
      <c r="V12" s="7" t="e">
        <f t="shared" si="1"/>
        <v>#N/A</v>
      </c>
      <c r="W12" s="7" t="e">
        <f t="shared" si="2"/>
        <v>#N/A</v>
      </c>
      <c r="X12" s="7" t="e">
        <f t="shared" si="3"/>
        <v>#N/A</v>
      </c>
      <c r="Y12" s="30">
        <f t="shared" si="6"/>
        <v>0</v>
      </c>
      <c r="Z12" s="9"/>
      <c r="AA12" s="9"/>
      <c r="AB12" s="9"/>
      <c r="AC12" s="9"/>
      <c r="AD12" s="9"/>
      <c r="AE12" s="9"/>
      <c r="AF12" s="9"/>
      <c r="AG12" s="9"/>
      <c r="AH12" s="9"/>
      <c r="AI12" s="9"/>
      <c r="AJ12" s="9"/>
      <c r="AK12" s="9"/>
      <c r="AL12" s="9"/>
      <c r="AM12" s="9"/>
      <c r="AN12" s="9"/>
      <c r="AO12" s="9"/>
    </row>
    <row r="13" spans="1:41" ht="13.5" customHeight="1">
      <c r="A13" s="511"/>
      <c r="B13" s="512"/>
      <c r="C13" s="512"/>
      <c r="D13" s="513"/>
      <c r="E13" s="29" t="s">
        <v>311</v>
      </c>
      <c r="F13" s="34"/>
      <c r="G13" s="29" t="s">
        <v>312</v>
      </c>
      <c r="H13" s="34"/>
      <c r="I13" s="29" t="s">
        <v>313</v>
      </c>
      <c r="J13" s="34"/>
      <c r="K13" s="3"/>
      <c r="L13" s="4"/>
      <c r="M13" s="184">
        <f t="shared" si="7"/>
        <v>0</v>
      </c>
      <c r="N13" s="5">
        <f>IF(L13="N",Y13,0)</f>
        <v>0</v>
      </c>
      <c r="O13" s="9"/>
      <c r="P13" s="9"/>
      <c r="Q13" s="9" t="e">
        <f>MATCH(C5&amp;F13&amp;H13,Sökbegr,0)</f>
        <v>#N/A</v>
      </c>
      <c r="R13" s="9" t="e">
        <f>INDEX(Ersättn,$Q$13)</f>
        <v>#N/A</v>
      </c>
      <c r="S13" s="7" t="e">
        <f>SUM(R13*J5/H5)</f>
        <v>#N/A</v>
      </c>
      <c r="T13" s="9" t="e">
        <f>MATCH(C5&amp;J13,Proddata,0)</f>
        <v>#N/A</v>
      </c>
      <c r="U13" s="9" t="e">
        <f t="shared" si="0"/>
        <v>#N/A</v>
      </c>
      <c r="V13" s="7" t="e">
        <f t="shared" si="1"/>
        <v>#N/A</v>
      </c>
      <c r="W13" s="7" t="e">
        <f t="shared" si="2"/>
        <v>#N/A</v>
      </c>
      <c r="X13" s="7" t="e">
        <f t="shared" si="3"/>
        <v>#N/A</v>
      </c>
      <c r="Y13" s="30">
        <f t="shared" si="6"/>
        <v>0</v>
      </c>
      <c r="Z13" s="9"/>
      <c r="AA13" s="9"/>
      <c r="AB13" s="9"/>
      <c r="AC13" s="9"/>
      <c r="AD13" s="9"/>
      <c r="AE13" s="9"/>
      <c r="AF13" s="9"/>
      <c r="AG13" s="9"/>
      <c r="AH13" s="9"/>
      <c r="AI13" s="9"/>
      <c r="AJ13" s="9"/>
      <c r="AK13" s="9"/>
      <c r="AL13" s="9"/>
      <c r="AM13" s="9"/>
      <c r="AN13" s="9"/>
      <c r="AO13" s="9"/>
    </row>
    <row r="14" spans="1:41" ht="13.5" customHeight="1">
      <c r="A14" s="511"/>
      <c r="B14" s="512"/>
      <c r="C14" s="512"/>
      <c r="D14" s="513"/>
      <c r="E14" s="29" t="s">
        <v>311</v>
      </c>
      <c r="F14" s="34"/>
      <c r="G14" s="29" t="s">
        <v>312</v>
      </c>
      <c r="H14" s="34"/>
      <c r="I14" s="29" t="s">
        <v>313</v>
      </c>
      <c r="J14" s="34"/>
      <c r="K14" s="3"/>
      <c r="L14" s="4"/>
      <c r="M14" s="184">
        <f t="shared" si="7"/>
        <v>0</v>
      </c>
      <c r="N14" s="5">
        <f t="shared" ref="N14:N50" si="8">IF($L14="N",$Y14,0)</f>
        <v>0</v>
      </c>
      <c r="O14" s="9"/>
      <c r="P14" s="9"/>
      <c r="Q14" s="9" t="e">
        <f>MATCH(C5&amp;F14&amp;H14,Sökbegr,0)</f>
        <v>#N/A</v>
      </c>
      <c r="R14" s="9" t="e">
        <f>INDEX(Ersättn,$Q$14)</f>
        <v>#N/A</v>
      </c>
      <c r="S14" s="7" t="e">
        <f>SUM(R14*J5/H5)</f>
        <v>#N/A</v>
      </c>
      <c r="T14" s="9" t="e">
        <f>MATCH(C5&amp;J14,Proddata,0)</f>
        <v>#N/A</v>
      </c>
      <c r="U14" s="9" t="e">
        <f t="shared" si="0"/>
        <v>#N/A</v>
      </c>
      <c r="V14" s="7" t="e">
        <f t="shared" si="1"/>
        <v>#N/A</v>
      </c>
      <c r="W14" s="7" t="e">
        <f t="shared" si="2"/>
        <v>#N/A</v>
      </c>
      <c r="X14" s="7" t="e">
        <f t="shared" si="3"/>
        <v>#N/A</v>
      </c>
      <c r="Y14" s="30">
        <f t="shared" si="6"/>
        <v>0</v>
      </c>
      <c r="Z14" s="9"/>
      <c r="AA14" s="9"/>
      <c r="AB14" s="9"/>
      <c r="AC14" s="9"/>
      <c r="AD14" s="9"/>
      <c r="AE14" s="9"/>
      <c r="AF14" s="9"/>
      <c r="AG14" s="9"/>
      <c r="AH14" s="9"/>
      <c r="AI14" s="9"/>
      <c r="AJ14" s="9"/>
      <c r="AK14" s="9"/>
      <c r="AL14" s="9"/>
      <c r="AM14" s="9"/>
      <c r="AN14" s="9"/>
      <c r="AO14" s="9"/>
    </row>
    <row r="15" spans="1:41" ht="13.5" customHeight="1">
      <c r="A15" s="511"/>
      <c r="B15" s="512"/>
      <c r="C15" s="512"/>
      <c r="D15" s="513"/>
      <c r="E15" s="29" t="s">
        <v>311</v>
      </c>
      <c r="F15" s="34"/>
      <c r="G15" s="29" t="s">
        <v>312</v>
      </c>
      <c r="H15" s="34"/>
      <c r="I15" s="29" t="s">
        <v>313</v>
      </c>
      <c r="J15" s="34"/>
      <c r="K15" s="3"/>
      <c r="L15" s="4"/>
      <c r="M15" s="184">
        <f t="shared" si="7"/>
        <v>0</v>
      </c>
      <c r="N15" s="5">
        <f t="shared" si="8"/>
        <v>0</v>
      </c>
      <c r="O15" s="9"/>
      <c r="P15" s="9"/>
      <c r="Q15" s="9" t="e">
        <f>MATCH(C5&amp;F15&amp;H15,Sökbegr,0)</f>
        <v>#N/A</v>
      </c>
      <c r="R15" s="9" t="e">
        <f>INDEX(Ersättn,$Q$15)</f>
        <v>#N/A</v>
      </c>
      <c r="S15" s="7" t="e">
        <f>SUM(R15*J5/H5)</f>
        <v>#N/A</v>
      </c>
      <c r="T15" s="9" t="e">
        <f>MATCH(C5&amp;J15,Proddata,0)</f>
        <v>#N/A</v>
      </c>
      <c r="U15" s="9" t="e">
        <f t="shared" si="0"/>
        <v>#N/A</v>
      </c>
      <c r="V15" s="7" t="e">
        <f t="shared" si="1"/>
        <v>#N/A</v>
      </c>
      <c r="W15" s="7" t="e">
        <f t="shared" si="2"/>
        <v>#N/A</v>
      </c>
      <c r="X15" s="7" t="e">
        <f t="shared" si="3"/>
        <v>#N/A</v>
      </c>
      <c r="Y15" s="30">
        <f t="shared" si="6"/>
        <v>0</v>
      </c>
      <c r="Z15" s="9"/>
      <c r="AA15" s="9"/>
      <c r="AB15" s="9"/>
      <c r="AC15" s="9"/>
      <c r="AD15" s="9"/>
      <c r="AE15" s="9"/>
      <c r="AF15" s="9"/>
      <c r="AG15" s="9"/>
      <c r="AH15" s="9"/>
      <c r="AI15" s="9"/>
      <c r="AJ15" s="9"/>
      <c r="AK15" s="9"/>
      <c r="AL15" s="9"/>
      <c r="AM15" s="9"/>
      <c r="AN15" s="9"/>
      <c r="AO15" s="9"/>
    </row>
    <row r="16" spans="1:41" ht="13.5" customHeight="1">
      <c r="A16" s="511"/>
      <c r="B16" s="512"/>
      <c r="C16" s="512"/>
      <c r="D16" s="513"/>
      <c r="E16" s="29" t="s">
        <v>311</v>
      </c>
      <c r="F16" s="34"/>
      <c r="G16" s="29" t="s">
        <v>312</v>
      </c>
      <c r="H16" s="34"/>
      <c r="I16" s="29" t="s">
        <v>313</v>
      </c>
      <c r="J16" s="34"/>
      <c r="K16" s="3"/>
      <c r="L16" s="4"/>
      <c r="M16" s="184">
        <f t="shared" si="7"/>
        <v>0</v>
      </c>
      <c r="N16" s="5">
        <f t="shared" si="8"/>
        <v>0</v>
      </c>
      <c r="O16" s="9"/>
      <c r="P16" s="9"/>
      <c r="Q16" s="9" t="e">
        <f>MATCH(C5&amp;F16&amp;H16,Sökbegr,0)</f>
        <v>#N/A</v>
      </c>
      <c r="R16" s="9" t="e">
        <f>INDEX(Ersättn,$Q$16)</f>
        <v>#N/A</v>
      </c>
      <c r="S16" s="7" t="e">
        <f>SUM(R16*J5/H5)</f>
        <v>#N/A</v>
      </c>
      <c r="T16" s="9" t="e">
        <f>MATCH(C5&amp;J16,Proddata,0)</f>
        <v>#N/A</v>
      </c>
      <c r="U16" s="9" t="e">
        <f t="shared" si="0"/>
        <v>#N/A</v>
      </c>
      <c r="V16" s="7" t="e">
        <f t="shared" si="1"/>
        <v>#N/A</v>
      </c>
      <c r="W16" s="7" t="e">
        <f t="shared" si="2"/>
        <v>#N/A</v>
      </c>
      <c r="X16" s="7" t="e">
        <f t="shared" si="3"/>
        <v>#N/A</v>
      </c>
      <c r="Y16" s="30">
        <f t="shared" si="6"/>
        <v>0</v>
      </c>
      <c r="Z16" s="9"/>
      <c r="AA16" s="9"/>
      <c r="AB16" s="9"/>
      <c r="AC16" s="9"/>
      <c r="AD16" s="9"/>
      <c r="AE16" s="9"/>
      <c r="AF16" s="9"/>
      <c r="AG16" s="9"/>
      <c r="AH16" s="9"/>
      <c r="AI16" s="9"/>
      <c r="AJ16" s="9"/>
      <c r="AK16" s="9"/>
      <c r="AL16" s="9"/>
      <c r="AM16" s="9"/>
      <c r="AN16" s="9"/>
      <c r="AO16" s="9"/>
    </row>
    <row r="17" spans="1:41" ht="13.5" customHeight="1">
      <c r="A17" s="511"/>
      <c r="B17" s="512"/>
      <c r="C17" s="512"/>
      <c r="D17" s="513"/>
      <c r="E17" s="29" t="s">
        <v>311</v>
      </c>
      <c r="F17" s="34"/>
      <c r="G17" s="29" t="s">
        <v>312</v>
      </c>
      <c r="H17" s="34"/>
      <c r="I17" s="29" t="s">
        <v>313</v>
      </c>
      <c r="J17" s="34"/>
      <c r="K17" s="3"/>
      <c r="L17" s="4"/>
      <c r="M17" s="184">
        <f t="shared" si="7"/>
        <v>0</v>
      </c>
      <c r="N17" s="5">
        <f t="shared" si="8"/>
        <v>0</v>
      </c>
      <c r="O17" s="9"/>
      <c r="P17" s="9"/>
      <c r="Q17" s="9" t="e">
        <f>MATCH(C5&amp;F17&amp;H17,Sökbegr,0)</f>
        <v>#N/A</v>
      </c>
      <c r="R17" s="9" t="e">
        <f>INDEX(Ersättn,$Q$17)</f>
        <v>#N/A</v>
      </c>
      <c r="S17" s="7" t="e">
        <f>SUM(R17*J5/H5)</f>
        <v>#N/A</v>
      </c>
      <c r="T17" s="9" t="e">
        <f>MATCH(C5&amp;J17,Proddata,0)</f>
        <v>#N/A</v>
      </c>
      <c r="U17" s="9" t="e">
        <f t="shared" si="0"/>
        <v>#N/A</v>
      </c>
      <c r="V17" s="7" t="e">
        <f t="shared" si="1"/>
        <v>#N/A</v>
      </c>
      <c r="W17" s="7" t="e">
        <f t="shared" si="2"/>
        <v>#N/A</v>
      </c>
      <c r="X17" s="7" t="e">
        <f t="shared" si="3"/>
        <v>#N/A</v>
      </c>
      <c r="Y17" s="30">
        <f t="shared" si="6"/>
        <v>0</v>
      </c>
      <c r="Z17" s="9"/>
      <c r="AA17" s="9"/>
      <c r="AB17" s="9"/>
      <c r="AC17" s="9"/>
      <c r="AD17" s="9"/>
      <c r="AE17" s="9"/>
      <c r="AF17" s="9"/>
      <c r="AG17" s="9"/>
      <c r="AH17" s="9"/>
      <c r="AI17" s="9"/>
      <c r="AJ17" s="9"/>
      <c r="AK17" s="9"/>
      <c r="AL17" s="9"/>
      <c r="AM17" s="9"/>
      <c r="AN17" s="9"/>
      <c r="AO17" s="9"/>
    </row>
    <row r="18" spans="1:41" ht="13.5" customHeight="1">
      <c r="A18" s="511"/>
      <c r="B18" s="512"/>
      <c r="C18" s="512"/>
      <c r="D18" s="513"/>
      <c r="E18" s="29" t="s">
        <v>311</v>
      </c>
      <c r="F18" s="34"/>
      <c r="G18" s="29" t="s">
        <v>312</v>
      </c>
      <c r="H18" s="34"/>
      <c r="I18" s="29" t="s">
        <v>313</v>
      </c>
      <c r="J18" s="34"/>
      <c r="K18" s="3"/>
      <c r="L18" s="4"/>
      <c r="M18" s="184">
        <f t="shared" si="7"/>
        <v>0</v>
      </c>
      <c r="N18" s="5">
        <f t="shared" si="8"/>
        <v>0</v>
      </c>
      <c r="O18" s="9"/>
      <c r="P18" s="9"/>
      <c r="Q18" s="9" t="e">
        <f>MATCH(C5&amp;F18&amp;H18,Sökbegr,0)</f>
        <v>#N/A</v>
      </c>
      <c r="R18" s="9" t="e">
        <f>INDEX(Ersättn,$Q$18)</f>
        <v>#N/A</v>
      </c>
      <c r="S18" s="7" t="e">
        <f>SUM(R18*J5/H5)</f>
        <v>#N/A</v>
      </c>
      <c r="T18" s="9" t="e">
        <f>MATCH(C5&amp;J18,Proddata,0)</f>
        <v>#N/A</v>
      </c>
      <c r="U18" s="9" t="e">
        <f t="shared" si="0"/>
        <v>#N/A</v>
      </c>
      <c r="V18" s="7" t="e">
        <f t="shared" si="1"/>
        <v>#N/A</v>
      </c>
      <c r="W18" s="7" t="e">
        <f t="shared" si="2"/>
        <v>#N/A</v>
      </c>
      <c r="X18" s="7" t="e">
        <f t="shared" si="3"/>
        <v>#N/A</v>
      </c>
      <c r="Y18" s="30">
        <f t="shared" si="6"/>
        <v>0</v>
      </c>
      <c r="Z18" s="9"/>
      <c r="AA18" s="9"/>
      <c r="AB18" s="9"/>
      <c r="AC18" s="9"/>
      <c r="AD18" s="9"/>
      <c r="AE18" s="9"/>
      <c r="AF18" s="9"/>
      <c r="AG18" s="9"/>
      <c r="AH18" s="9"/>
      <c r="AI18" s="9"/>
      <c r="AJ18" s="9"/>
      <c r="AK18" s="9"/>
      <c r="AL18" s="9"/>
      <c r="AM18" s="9"/>
      <c r="AN18" s="9"/>
      <c r="AO18" s="9"/>
    </row>
    <row r="19" spans="1:41" ht="13.5" customHeight="1">
      <c r="A19" s="511"/>
      <c r="B19" s="512"/>
      <c r="C19" s="512"/>
      <c r="D19" s="513"/>
      <c r="E19" s="29" t="s">
        <v>311</v>
      </c>
      <c r="F19" s="34"/>
      <c r="G19" s="29" t="s">
        <v>312</v>
      </c>
      <c r="H19" s="34"/>
      <c r="I19" s="29" t="s">
        <v>313</v>
      </c>
      <c r="J19" s="34"/>
      <c r="K19" s="3"/>
      <c r="L19" s="4"/>
      <c r="M19" s="184">
        <f t="shared" si="7"/>
        <v>0</v>
      </c>
      <c r="N19" s="5">
        <f t="shared" si="8"/>
        <v>0</v>
      </c>
      <c r="O19" s="9"/>
      <c r="P19" s="9"/>
      <c r="Q19" s="9" t="e">
        <f>MATCH(C5&amp;F19&amp;H19,Sökbegr,0)</f>
        <v>#N/A</v>
      </c>
      <c r="R19" s="9" t="e">
        <f>INDEX(Ersättn,$Q$19)</f>
        <v>#N/A</v>
      </c>
      <c r="S19" s="7" t="e">
        <f>SUM(R19*J5/H5)</f>
        <v>#N/A</v>
      </c>
      <c r="T19" s="9" t="e">
        <f>MATCH(C5&amp;J19,Proddata,0)</f>
        <v>#N/A</v>
      </c>
      <c r="U19" s="9" t="e">
        <f t="shared" si="0"/>
        <v>#N/A</v>
      </c>
      <c r="V19" s="7" t="e">
        <f t="shared" si="1"/>
        <v>#N/A</v>
      </c>
      <c r="W19" s="7" t="e">
        <f t="shared" si="2"/>
        <v>#N/A</v>
      </c>
      <c r="X19" s="7" t="e">
        <f t="shared" si="3"/>
        <v>#N/A</v>
      </c>
      <c r="Y19" s="30">
        <f t="shared" si="6"/>
        <v>0</v>
      </c>
      <c r="Z19" s="9"/>
      <c r="AA19" s="9"/>
      <c r="AB19" s="9"/>
      <c r="AC19" s="9"/>
      <c r="AD19" s="9"/>
      <c r="AE19" s="9"/>
      <c r="AF19" s="9"/>
      <c r="AG19" s="9"/>
      <c r="AH19" s="9"/>
      <c r="AI19" s="9"/>
      <c r="AJ19" s="9"/>
      <c r="AK19" s="9"/>
      <c r="AL19" s="9"/>
      <c r="AM19" s="9"/>
      <c r="AN19" s="9"/>
      <c r="AO19" s="9"/>
    </row>
    <row r="20" spans="1:41" ht="13.5" customHeight="1">
      <c r="A20" s="511"/>
      <c r="B20" s="512"/>
      <c r="C20" s="512"/>
      <c r="D20" s="513"/>
      <c r="E20" s="29" t="s">
        <v>311</v>
      </c>
      <c r="F20" s="34"/>
      <c r="G20" s="29" t="s">
        <v>312</v>
      </c>
      <c r="H20" s="34"/>
      <c r="I20" s="29" t="s">
        <v>313</v>
      </c>
      <c r="J20" s="34"/>
      <c r="K20" s="3"/>
      <c r="L20" s="4"/>
      <c r="M20" s="184">
        <f t="shared" si="7"/>
        <v>0</v>
      </c>
      <c r="N20" s="5">
        <f t="shared" si="8"/>
        <v>0</v>
      </c>
      <c r="O20" s="9"/>
      <c r="P20" s="9"/>
      <c r="Q20" s="9" t="e">
        <f>MATCH(C5&amp;F20&amp;H20,Sökbegr,0)</f>
        <v>#N/A</v>
      </c>
      <c r="R20" s="9" t="e">
        <f>INDEX(Ersättn,$Q$20)</f>
        <v>#N/A</v>
      </c>
      <c r="S20" s="7" t="e">
        <f>SUM(R20*J5/H5)</f>
        <v>#N/A</v>
      </c>
      <c r="T20" s="9" t="e">
        <f>MATCH(C5&amp;J20,Proddata,0)</f>
        <v>#N/A</v>
      </c>
      <c r="U20" s="9" t="e">
        <f t="shared" si="0"/>
        <v>#N/A</v>
      </c>
      <c r="V20" s="7" t="e">
        <f t="shared" si="1"/>
        <v>#N/A</v>
      </c>
      <c r="W20" s="7" t="e">
        <f t="shared" si="2"/>
        <v>#N/A</v>
      </c>
      <c r="X20" s="7" t="e">
        <f t="shared" si="3"/>
        <v>#N/A</v>
      </c>
      <c r="Y20" s="30">
        <f t="shared" si="6"/>
        <v>0</v>
      </c>
      <c r="Z20" s="9"/>
      <c r="AA20" s="9"/>
      <c r="AB20" s="9"/>
      <c r="AC20" s="9"/>
      <c r="AD20" s="9"/>
      <c r="AE20" s="9"/>
      <c r="AF20" s="9"/>
      <c r="AG20" s="9"/>
      <c r="AH20" s="9"/>
      <c r="AI20" s="9"/>
      <c r="AJ20" s="9"/>
      <c r="AK20" s="9"/>
      <c r="AL20" s="9"/>
      <c r="AM20" s="9"/>
      <c r="AN20" s="9"/>
      <c r="AO20" s="9"/>
    </row>
    <row r="21" spans="1:41" ht="13.5" customHeight="1">
      <c r="A21" s="511"/>
      <c r="B21" s="512"/>
      <c r="C21" s="512"/>
      <c r="D21" s="513"/>
      <c r="E21" s="29" t="s">
        <v>311</v>
      </c>
      <c r="F21" s="34"/>
      <c r="G21" s="29" t="s">
        <v>312</v>
      </c>
      <c r="H21" s="34"/>
      <c r="I21" s="29" t="s">
        <v>313</v>
      </c>
      <c r="J21" s="34"/>
      <c r="K21" s="3"/>
      <c r="L21" s="4"/>
      <c r="M21" s="184">
        <f t="shared" si="7"/>
        <v>0</v>
      </c>
      <c r="N21" s="5">
        <f t="shared" si="8"/>
        <v>0</v>
      </c>
      <c r="O21" s="9"/>
      <c r="P21" s="9"/>
      <c r="Q21" s="9" t="e">
        <f>MATCH(C5&amp;F21&amp;H21,Sökbegr,0)</f>
        <v>#N/A</v>
      </c>
      <c r="R21" s="9" t="e">
        <f>INDEX(Ersättn,$Q$21)</f>
        <v>#N/A</v>
      </c>
      <c r="S21" s="7" t="e">
        <f>SUM(R21*J5/H5)</f>
        <v>#N/A</v>
      </c>
      <c r="T21" s="9" t="e">
        <f>MATCH(C5&amp;J21,Proddata,0)</f>
        <v>#N/A</v>
      </c>
      <c r="U21" s="9" t="e">
        <f t="shared" si="0"/>
        <v>#N/A</v>
      </c>
      <c r="V21" s="7" t="e">
        <f t="shared" si="1"/>
        <v>#N/A</v>
      </c>
      <c r="W21" s="7" t="e">
        <f t="shared" si="2"/>
        <v>#N/A</v>
      </c>
      <c r="X21" s="7" t="e">
        <f t="shared" si="3"/>
        <v>#N/A</v>
      </c>
      <c r="Y21" s="30">
        <f t="shared" si="6"/>
        <v>0</v>
      </c>
      <c r="Z21" s="9"/>
      <c r="AA21" s="9"/>
      <c r="AB21" s="9"/>
      <c r="AC21" s="9"/>
      <c r="AD21" s="9"/>
      <c r="AE21" s="9"/>
      <c r="AF21" s="9"/>
      <c r="AG21" s="9"/>
      <c r="AH21" s="9"/>
      <c r="AI21" s="9"/>
      <c r="AJ21" s="9"/>
      <c r="AK21" s="9"/>
      <c r="AL21" s="9"/>
      <c r="AM21" s="9"/>
      <c r="AN21" s="9"/>
      <c r="AO21" s="9"/>
    </row>
    <row r="22" spans="1:41" ht="13.5" customHeight="1">
      <c r="A22" s="511"/>
      <c r="B22" s="512"/>
      <c r="C22" s="512"/>
      <c r="D22" s="513"/>
      <c r="E22" s="29" t="s">
        <v>311</v>
      </c>
      <c r="F22" s="34"/>
      <c r="G22" s="29" t="s">
        <v>312</v>
      </c>
      <c r="H22" s="34"/>
      <c r="I22" s="29" t="s">
        <v>313</v>
      </c>
      <c r="J22" s="34"/>
      <c r="K22" s="3"/>
      <c r="L22" s="4"/>
      <c r="M22" s="184">
        <f t="shared" si="7"/>
        <v>0</v>
      </c>
      <c r="N22" s="5">
        <f t="shared" si="8"/>
        <v>0</v>
      </c>
      <c r="O22" s="9"/>
      <c r="P22" s="9"/>
      <c r="Q22" s="9" t="e">
        <f>MATCH(C5&amp;F22&amp;H22,Sökbegr,0)</f>
        <v>#N/A</v>
      </c>
      <c r="R22" s="9" t="e">
        <f>INDEX(Ersättn,$Q$22)</f>
        <v>#N/A</v>
      </c>
      <c r="S22" s="7" t="e">
        <f>SUM(R22*J5/H5)</f>
        <v>#N/A</v>
      </c>
      <c r="T22" s="9" t="e">
        <f>MATCH(C5&amp;J22,Proddata,0)</f>
        <v>#N/A</v>
      </c>
      <c r="U22" s="9" t="e">
        <f t="shared" si="0"/>
        <v>#N/A</v>
      </c>
      <c r="V22" s="7" t="e">
        <f t="shared" si="1"/>
        <v>#N/A</v>
      </c>
      <c r="W22" s="7" t="e">
        <f t="shared" si="2"/>
        <v>#N/A</v>
      </c>
      <c r="X22" s="7" t="e">
        <f t="shared" si="3"/>
        <v>#N/A</v>
      </c>
      <c r="Y22" s="30">
        <f t="shared" si="6"/>
        <v>0</v>
      </c>
      <c r="Z22" s="9"/>
      <c r="AA22" s="9"/>
      <c r="AB22" s="9"/>
      <c r="AC22" s="9"/>
      <c r="AD22" s="9"/>
      <c r="AE22" s="9"/>
      <c r="AF22" s="9"/>
      <c r="AG22" s="9"/>
      <c r="AH22" s="9"/>
      <c r="AI22" s="9"/>
      <c r="AJ22" s="9"/>
      <c r="AK22" s="9"/>
      <c r="AL22" s="9"/>
      <c r="AM22" s="9"/>
      <c r="AN22" s="9"/>
      <c r="AO22" s="9"/>
    </row>
    <row r="23" spans="1:41" ht="13.5" customHeight="1">
      <c r="A23" s="511"/>
      <c r="B23" s="512"/>
      <c r="C23" s="512"/>
      <c r="D23" s="513"/>
      <c r="E23" s="29" t="s">
        <v>311</v>
      </c>
      <c r="F23" s="34"/>
      <c r="G23" s="29" t="s">
        <v>312</v>
      </c>
      <c r="H23" s="34"/>
      <c r="I23" s="29" t="s">
        <v>313</v>
      </c>
      <c r="J23" s="34"/>
      <c r="K23" s="3"/>
      <c r="L23" s="4"/>
      <c r="M23" s="184">
        <f t="shared" si="7"/>
        <v>0</v>
      </c>
      <c r="N23" s="5">
        <f t="shared" si="8"/>
        <v>0</v>
      </c>
      <c r="O23" s="9"/>
      <c r="P23" s="9"/>
      <c r="Q23" s="9" t="e">
        <f>MATCH(C5&amp;F23&amp;H23,Sökbegr,0)</f>
        <v>#N/A</v>
      </c>
      <c r="R23" s="9" t="e">
        <f>INDEX(Ersättn,$Q$23)</f>
        <v>#N/A</v>
      </c>
      <c r="S23" s="7" t="e">
        <f>SUM(R23*J5/H5)</f>
        <v>#N/A</v>
      </c>
      <c r="T23" s="9" t="e">
        <f>MATCH(C5&amp;J23,Proddata,0)</f>
        <v>#N/A</v>
      </c>
      <c r="U23" s="9" t="e">
        <f t="shared" si="0"/>
        <v>#N/A</v>
      </c>
      <c r="V23" s="7" t="e">
        <f t="shared" si="1"/>
        <v>#N/A</v>
      </c>
      <c r="W23" s="7" t="e">
        <f t="shared" si="2"/>
        <v>#N/A</v>
      </c>
      <c r="X23" s="7" t="e">
        <f t="shared" si="3"/>
        <v>#N/A</v>
      </c>
      <c r="Y23" s="30">
        <f t="shared" si="6"/>
        <v>0</v>
      </c>
      <c r="Z23" s="9"/>
      <c r="AA23" s="9"/>
      <c r="AB23" s="9"/>
      <c r="AC23" s="9"/>
      <c r="AD23" s="9"/>
      <c r="AE23" s="9"/>
      <c r="AF23" s="9"/>
      <c r="AG23" s="9"/>
      <c r="AH23" s="9"/>
      <c r="AI23" s="9"/>
      <c r="AJ23" s="9"/>
      <c r="AK23" s="9"/>
      <c r="AL23" s="9"/>
      <c r="AM23" s="9"/>
      <c r="AN23" s="9"/>
      <c r="AO23" s="9"/>
    </row>
    <row r="24" spans="1:41" ht="13.5" customHeight="1">
      <c r="A24" s="511"/>
      <c r="B24" s="512"/>
      <c r="C24" s="512"/>
      <c r="D24" s="513"/>
      <c r="E24" s="29" t="s">
        <v>311</v>
      </c>
      <c r="F24" s="34"/>
      <c r="G24" s="29" t="s">
        <v>312</v>
      </c>
      <c r="H24" s="34"/>
      <c r="I24" s="29" t="s">
        <v>313</v>
      </c>
      <c r="J24" s="34"/>
      <c r="K24" s="3"/>
      <c r="L24" s="4"/>
      <c r="M24" s="184">
        <f t="shared" si="7"/>
        <v>0</v>
      </c>
      <c r="N24" s="5">
        <f t="shared" si="8"/>
        <v>0</v>
      </c>
      <c r="O24" s="9"/>
      <c r="P24" s="9"/>
      <c r="Q24" s="9" t="e">
        <f>MATCH(C5&amp;F24&amp;H24,Sökbegr,0)</f>
        <v>#N/A</v>
      </c>
      <c r="R24" s="9" t="e">
        <f>INDEX(Ersättn,$Q$24)</f>
        <v>#N/A</v>
      </c>
      <c r="S24" s="7" t="e">
        <f>SUM(R24*J5/H5)</f>
        <v>#N/A</v>
      </c>
      <c r="T24" s="9" t="e">
        <f>MATCH(C5&amp;J24,Proddata,0)</f>
        <v>#N/A</v>
      </c>
      <c r="U24" s="9" t="e">
        <f t="shared" si="0"/>
        <v>#N/A</v>
      </c>
      <c r="V24" s="7" t="e">
        <f t="shared" si="1"/>
        <v>#N/A</v>
      </c>
      <c r="W24" s="7" t="e">
        <f t="shared" si="2"/>
        <v>#N/A</v>
      </c>
      <c r="X24" s="7" t="e">
        <f t="shared" si="3"/>
        <v>#N/A</v>
      </c>
      <c r="Y24" s="30">
        <f t="shared" si="6"/>
        <v>0</v>
      </c>
      <c r="Z24" s="9"/>
      <c r="AA24" s="9"/>
      <c r="AB24" s="9"/>
      <c r="AC24" s="9"/>
      <c r="AD24" s="9"/>
      <c r="AE24" s="9"/>
      <c r="AF24" s="9"/>
      <c r="AG24" s="9"/>
      <c r="AH24" s="9"/>
      <c r="AI24" s="9"/>
      <c r="AJ24" s="9"/>
      <c r="AK24" s="9"/>
      <c r="AL24" s="9"/>
      <c r="AM24" s="9"/>
      <c r="AN24" s="9"/>
      <c r="AO24" s="9"/>
    </row>
    <row r="25" spans="1:41" ht="13.5" customHeight="1">
      <c r="A25" s="511"/>
      <c r="B25" s="512"/>
      <c r="C25" s="512"/>
      <c r="D25" s="513"/>
      <c r="E25" s="29" t="s">
        <v>311</v>
      </c>
      <c r="F25" s="34"/>
      <c r="G25" s="29" t="s">
        <v>312</v>
      </c>
      <c r="H25" s="34"/>
      <c r="I25" s="29" t="s">
        <v>313</v>
      </c>
      <c r="J25" s="34"/>
      <c r="K25" s="3"/>
      <c r="L25" s="4"/>
      <c r="M25" s="184">
        <f t="shared" si="7"/>
        <v>0</v>
      </c>
      <c r="N25" s="5">
        <f t="shared" si="8"/>
        <v>0</v>
      </c>
      <c r="O25" s="9"/>
      <c r="P25" s="9"/>
      <c r="Q25" s="9" t="e">
        <f>MATCH(C5&amp;F25&amp;H25,Sökbegr,0)</f>
        <v>#N/A</v>
      </c>
      <c r="R25" s="9" t="e">
        <f>INDEX(Ersättn,$Q$25)</f>
        <v>#N/A</v>
      </c>
      <c r="S25" s="7" t="e">
        <f>SUM(R25*J5/H5)</f>
        <v>#N/A</v>
      </c>
      <c r="T25" s="9" t="e">
        <f>MATCH(C5&amp;J25,Proddata,0)</f>
        <v>#N/A</v>
      </c>
      <c r="U25" s="9" t="e">
        <f t="shared" si="0"/>
        <v>#N/A</v>
      </c>
      <c r="V25" s="7" t="e">
        <f t="shared" si="1"/>
        <v>#N/A</v>
      </c>
      <c r="W25" s="7" t="e">
        <f t="shared" si="2"/>
        <v>#N/A</v>
      </c>
      <c r="X25" s="7" t="e">
        <f t="shared" si="3"/>
        <v>#N/A</v>
      </c>
      <c r="Y25" s="30">
        <f t="shared" si="6"/>
        <v>0</v>
      </c>
      <c r="Z25" s="9"/>
      <c r="AA25" s="9"/>
      <c r="AB25" s="9"/>
      <c r="AC25" s="9"/>
      <c r="AD25" s="9"/>
      <c r="AE25" s="9"/>
      <c r="AF25" s="9"/>
      <c r="AG25" s="9"/>
      <c r="AH25" s="9"/>
      <c r="AI25" s="9"/>
      <c r="AJ25" s="9"/>
      <c r="AK25" s="9"/>
      <c r="AL25" s="9"/>
      <c r="AM25" s="9"/>
      <c r="AN25" s="9"/>
      <c r="AO25" s="9"/>
    </row>
    <row r="26" spans="1:41" ht="13.5" customHeight="1">
      <c r="A26" s="511"/>
      <c r="B26" s="512"/>
      <c r="C26" s="512"/>
      <c r="D26" s="513"/>
      <c r="E26" s="29" t="s">
        <v>311</v>
      </c>
      <c r="F26" s="34"/>
      <c r="G26" s="29" t="s">
        <v>312</v>
      </c>
      <c r="H26" s="34"/>
      <c r="I26" s="29" t="s">
        <v>313</v>
      </c>
      <c r="J26" s="34"/>
      <c r="K26" s="3"/>
      <c r="L26" s="4"/>
      <c r="M26" s="184">
        <f t="shared" si="7"/>
        <v>0</v>
      </c>
      <c r="N26" s="5">
        <f t="shared" si="8"/>
        <v>0</v>
      </c>
      <c r="O26" s="9"/>
      <c r="P26" s="9"/>
      <c r="Q26" s="9" t="e">
        <f>MATCH(C5&amp;F26&amp;H26,Sökbegr,0)</f>
        <v>#N/A</v>
      </c>
      <c r="R26" s="9" t="e">
        <f>INDEX(Ersättn,$Q$26)</f>
        <v>#N/A</v>
      </c>
      <c r="S26" s="7" t="e">
        <f>SUM(R26*J5/H5)</f>
        <v>#N/A</v>
      </c>
      <c r="T26" s="9" t="e">
        <f>MATCH(C5&amp;J26,Proddata,0)</f>
        <v>#N/A</v>
      </c>
      <c r="U26" s="9" t="e">
        <f t="shared" si="0"/>
        <v>#N/A</v>
      </c>
      <c r="V26" s="7" t="e">
        <f t="shared" si="1"/>
        <v>#N/A</v>
      </c>
      <c r="W26" s="7" t="e">
        <f t="shared" si="2"/>
        <v>#N/A</v>
      </c>
      <c r="X26" s="7" t="e">
        <f t="shared" si="3"/>
        <v>#N/A</v>
      </c>
      <c r="Y26" s="30">
        <f t="shared" si="6"/>
        <v>0</v>
      </c>
      <c r="Z26" s="9"/>
      <c r="AA26" s="9"/>
      <c r="AB26" s="9"/>
      <c r="AC26" s="9"/>
      <c r="AD26" s="9"/>
      <c r="AE26" s="9"/>
      <c r="AF26" s="9"/>
      <c r="AG26" s="9"/>
      <c r="AH26" s="9"/>
      <c r="AI26" s="9"/>
      <c r="AJ26" s="9"/>
      <c r="AK26" s="9"/>
      <c r="AL26" s="9"/>
      <c r="AM26" s="9"/>
      <c r="AN26" s="9"/>
      <c r="AO26" s="9"/>
    </row>
    <row r="27" spans="1:41" ht="13.5" customHeight="1">
      <c r="A27" s="511"/>
      <c r="B27" s="512"/>
      <c r="C27" s="512"/>
      <c r="D27" s="513"/>
      <c r="E27" s="29" t="s">
        <v>311</v>
      </c>
      <c r="F27" s="34"/>
      <c r="G27" s="29" t="s">
        <v>312</v>
      </c>
      <c r="H27" s="34"/>
      <c r="I27" s="29" t="s">
        <v>313</v>
      </c>
      <c r="J27" s="34"/>
      <c r="K27" s="3"/>
      <c r="L27" s="4"/>
      <c r="M27" s="184">
        <f t="shared" si="7"/>
        <v>0</v>
      </c>
      <c r="N27" s="5">
        <f t="shared" si="8"/>
        <v>0</v>
      </c>
      <c r="O27" s="9"/>
      <c r="P27" s="9"/>
      <c r="Q27" s="9" t="e">
        <f>MATCH(C5&amp;F27&amp;H27,Sökbegr,0)</f>
        <v>#N/A</v>
      </c>
      <c r="R27" s="9" t="e">
        <f>INDEX(Ersättn,$Q$27)</f>
        <v>#N/A</v>
      </c>
      <c r="S27" s="7" t="e">
        <f>SUM(R27*J5/H5)</f>
        <v>#N/A</v>
      </c>
      <c r="T27" s="9" t="e">
        <f>MATCH(C5&amp;J27,Proddata,0)</f>
        <v>#N/A</v>
      </c>
      <c r="U27" s="9" t="e">
        <f t="shared" si="0"/>
        <v>#N/A</v>
      </c>
      <c r="V27" s="7" t="e">
        <f t="shared" si="1"/>
        <v>#N/A</v>
      </c>
      <c r="W27" s="7" t="e">
        <f t="shared" si="2"/>
        <v>#N/A</v>
      </c>
      <c r="X27" s="7" t="e">
        <f t="shared" si="3"/>
        <v>#N/A</v>
      </c>
      <c r="Y27" s="30">
        <f t="shared" si="6"/>
        <v>0</v>
      </c>
      <c r="Z27" s="9"/>
      <c r="AA27" s="9"/>
      <c r="AB27" s="9"/>
      <c r="AC27" s="9"/>
      <c r="AD27" s="9"/>
      <c r="AE27" s="9"/>
      <c r="AF27" s="9"/>
      <c r="AG27" s="9"/>
      <c r="AH27" s="9"/>
      <c r="AI27" s="9"/>
      <c r="AJ27" s="9"/>
      <c r="AK27" s="9"/>
      <c r="AL27" s="9"/>
      <c r="AM27" s="9"/>
      <c r="AN27" s="9"/>
      <c r="AO27" s="9"/>
    </row>
    <row r="28" spans="1:41" ht="13.5" customHeight="1">
      <c r="A28" s="511"/>
      <c r="B28" s="512"/>
      <c r="C28" s="512"/>
      <c r="D28" s="513"/>
      <c r="E28" s="29" t="s">
        <v>311</v>
      </c>
      <c r="F28" s="34"/>
      <c r="G28" s="29" t="s">
        <v>312</v>
      </c>
      <c r="H28" s="34"/>
      <c r="I28" s="29" t="s">
        <v>313</v>
      </c>
      <c r="J28" s="34"/>
      <c r="K28" s="3"/>
      <c r="L28" s="4"/>
      <c r="M28" s="184">
        <f t="shared" si="7"/>
        <v>0</v>
      </c>
      <c r="N28" s="5">
        <f t="shared" si="8"/>
        <v>0</v>
      </c>
      <c r="O28" s="9"/>
      <c r="P28" s="9"/>
      <c r="Q28" s="9" t="e">
        <f>MATCH(C5&amp;F28&amp;H28,Sökbegr,0)</f>
        <v>#N/A</v>
      </c>
      <c r="R28" s="9" t="e">
        <f>INDEX(Ersättn,$Q$28)</f>
        <v>#N/A</v>
      </c>
      <c r="S28" s="7" t="e">
        <f>SUM(R28*J5/H5)</f>
        <v>#N/A</v>
      </c>
      <c r="T28" s="9" t="e">
        <f>MATCH(C5&amp;J28,Proddata,0)</f>
        <v>#N/A</v>
      </c>
      <c r="U28" s="9" t="e">
        <f t="shared" si="0"/>
        <v>#N/A</v>
      </c>
      <c r="V28" s="7" t="e">
        <f t="shared" si="1"/>
        <v>#N/A</v>
      </c>
      <c r="W28" s="7" t="e">
        <f t="shared" si="2"/>
        <v>#N/A</v>
      </c>
      <c r="X28" s="7" t="e">
        <f t="shared" si="3"/>
        <v>#N/A</v>
      </c>
      <c r="Y28" s="30">
        <f t="shared" si="6"/>
        <v>0</v>
      </c>
      <c r="Z28" s="9"/>
      <c r="AA28" s="9"/>
      <c r="AB28" s="9"/>
      <c r="AC28" s="9"/>
      <c r="AD28" s="9"/>
      <c r="AE28" s="9"/>
      <c r="AF28" s="9"/>
      <c r="AG28" s="9"/>
      <c r="AH28" s="9"/>
      <c r="AI28" s="9"/>
      <c r="AJ28" s="9"/>
      <c r="AK28" s="9"/>
      <c r="AL28" s="9"/>
      <c r="AM28" s="9"/>
      <c r="AN28" s="9"/>
      <c r="AO28" s="9"/>
    </row>
    <row r="29" spans="1:41" ht="13.5" customHeight="1">
      <c r="A29" s="511"/>
      <c r="B29" s="512"/>
      <c r="C29" s="512"/>
      <c r="D29" s="513"/>
      <c r="E29" s="29" t="s">
        <v>311</v>
      </c>
      <c r="F29" s="34"/>
      <c r="G29" s="29" t="s">
        <v>312</v>
      </c>
      <c r="H29" s="34"/>
      <c r="I29" s="29" t="s">
        <v>313</v>
      </c>
      <c r="J29" s="34"/>
      <c r="K29" s="3"/>
      <c r="L29" s="4"/>
      <c r="M29" s="184">
        <f t="shared" si="7"/>
        <v>0</v>
      </c>
      <c r="N29" s="5">
        <f t="shared" si="8"/>
        <v>0</v>
      </c>
      <c r="O29" s="9"/>
      <c r="P29" s="9"/>
      <c r="Q29" s="9" t="e">
        <f>MATCH(C5&amp;F29&amp;H29,Sökbegr,0)</f>
        <v>#N/A</v>
      </c>
      <c r="R29" s="9" t="e">
        <f>INDEX(Ersättn,$Q$29)</f>
        <v>#N/A</v>
      </c>
      <c r="S29" s="7" t="e">
        <f>SUM(R29*J5/H5)</f>
        <v>#N/A</v>
      </c>
      <c r="T29" s="9" t="e">
        <f>MATCH(C5&amp;J29,Proddata,0)</f>
        <v>#N/A</v>
      </c>
      <c r="U29" s="9" t="e">
        <f t="shared" si="0"/>
        <v>#N/A</v>
      </c>
      <c r="V29" s="7" t="e">
        <f t="shared" si="1"/>
        <v>#N/A</v>
      </c>
      <c r="W29" s="7" t="e">
        <f t="shared" si="2"/>
        <v>#N/A</v>
      </c>
      <c r="X29" s="7" t="e">
        <f t="shared" si="3"/>
        <v>#N/A</v>
      </c>
      <c r="Y29" s="30">
        <f t="shared" si="6"/>
        <v>0</v>
      </c>
      <c r="Z29" s="9"/>
      <c r="AA29" s="9"/>
      <c r="AB29" s="9"/>
      <c r="AC29" s="9"/>
      <c r="AD29" s="9"/>
      <c r="AE29" s="9"/>
      <c r="AF29" s="9"/>
      <c r="AG29" s="9"/>
      <c r="AH29" s="9"/>
      <c r="AI29" s="9"/>
      <c r="AJ29" s="9"/>
      <c r="AK29" s="9"/>
      <c r="AL29" s="9"/>
      <c r="AM29" s="9"/>
      <c r="AN29" s="9"/>
      <c r="AO29" s="9"/>
    </row>
    <row r="30" spans="1:41" ht="13.5" customHeight="1">
      <c r="A30" s="511"/>
      <c r="B30" s="512"/>
      <c r="C30" s="512"/>
      <c r="D30" s="513"/>
      <c r="E30" s="29" t="s">
        <v>311</v>
      </c>
      <c r="F30" s="34"/>
      <c r="G30" s="29" t="s">
        <v>312</v>
      </c>
      <c r="H30" s="34"/>
      <c r="I30" s="29" t="s">
        <v>313</v>
      </c>
      <c r="J30" s="34"/>
      <c r="K30" s="3"/>
      <c r="L30" s="4"/>
      <c r="M30" s="184">
        <f t="shared" si="7"/>
        <v>0</v>
      </c>
      <c r="N30" s="5">
        <f t="shared" si="8"/>
        <v>0</v>
      </c>
      <c r="O30" s="9"/>
      <c r="P30" s="9"/>
      <c r="Q30" s="9" t="e">
        <f>MATCH(C5&amp;F30&amp;H30,Sökbegr,0)</f>
        <v>#N/A</v>
      </c>
      <c r="R30" s="9" t="e">
        <f>INDEX(Ersättn,$Q$30)</f>
        <v>#N/A</v>
      </c>
      <c r="S30" s="7" t="e">
        <f>SUM(R30*J5/H5)</f>
        <v>#N/A</v>
      </c>
      <c r="T30" s="9" t="e">
        <f>MATCH(C5&amp;J30,Proddata,0)</f>
        <v>#N/A</v>
      </c>
      <c r="U30" s="9" t="e">
        <f t="shared" si="0"/>
        <v>#N/A</v>
      </c>
      <c r="V30" s="7" t="e">
        <f t="shared" si="1"/>
        <v>#N/A</v>
      </c>
      <c r="W30" s="7" t="e">
        <f t="shared" si="2"/>
        <v>#N/A</v>
      </c>
      <c r="X30" s="7" t="e">
        <f t="shared" si="3"/>
        <v>#N/A</v>
      </c>
      <c r="Y30" s="30">
        <f t="shared" si="6"/>
        <v>0</v>
      </c>
      <c r="Z30" s="9"/>
      <c r="AA30" s="9"/>
      <c r="AB30" s="9"/>
      <c r="AC30" s="9"/>
      <c r="AD30" s="9"/>
      <c r="AE30" s="9"/>
      <c r="AF30" s="9"/>
      <c r="AG30" s="9"/>
      <c r="AH30" s="9"/>
      <c r="AI30" s="9"/>
      <c r="AJ30" s="9"/>
      <c r="AK30" s="9"/>
      <c r="AL30" s="9"/>
      <c r="AM30" s="9"/>
      <c r="AN30" s="9"/>
      <c r="AO30" s="9"/>
    </row>
    <row r="31" spans="1:41" ht="13.5" customHeight="1">
      <c r="A31" s="511"/>
      <c r="B31" s="512"/>
      <c r="C31" s="512"/>
      <c r="D31" s="513"/>
      <c r="E31" s="29" t="s">
        <v>311</v>
      </c>
      <c r="F31" s="34"/>
      <c r="G31" s="29" t="s">
        <v>312</v>
      </c>
      <c r="H31" s="34"/>
      <c r="I31" s="29" t="s">
        <v>313</v>
      </c>
      <c r="J31" s="34"/>
      <c r="K31" s="3"/>
      <c r="L31" s="4"/>
      <c r="M31" s="184">
        <f t="shared" si="7"/>
        <v>0</v>
      </c>
      <c r="N31" s="5">
        <f t="shared" si="8"/>
        <v>0</v>
      </c>
      <c r="O31" s="9"/>
      <c r="P31" s="9"/>
      <c r="Q31" s="9" t="e">
        <f>MATCH(C5&amp;F31&amp;H31,Sökbegr,0)</f>
        <v>#N/A</v>
      </c>
      <c r="R31" s="9" t="e">
        <f>INDEX(Ersättn,$Q$31)</f>
        <v>#N/A</v>
      </c>
      <c r="S31" s="7" t="e">
        <f>SUM(R31*J5/H5)</f>
        <v>#N/A</v>
      </c>
      <c r="T31" s="9" t="e">
        <f>MATCH(C5&amp;J31,Proddata,0)</f>
        <v>#N/A</v>
      </c>
      <c r="U31" s="9" t="e">
        <f t="shared" si="0"/>
        <v>#N/A</v>
      </c>
      <c r="V31" s="7" t="e">
        <f t="shared" si="1"/>
        <v>#N/A</v>
      </c>
      <c r="W31" s="7" t="e">
        <f t="shared" si="2"/>
        <v>#N/A</v>
      </c>
      <c r="X31" s="7" t="e">
        <f t="shared" si="3"/>
        <v>#N/A</v>
      </c>
      <c r="Y31" s="30">
        <f t="shared" si="6"/>
        <v>0</v>
      </c>
      <c r="Z31" s="9"/>
      <c r="AA31" s="9"/>
      <c r="AB31" s="9"/>
      <c r="AC31" s="9"/>
      <c r="AD31" s="9"/>
      <c r="AE31" s="9"/>
      <c r="AF31" s="9"/>
      <c r="AG31" s="9"/>
      <c r="AH31" s="9"/>
      <c r="AI31" s="9"/>
      <c r="AJ31" s="9"/>
      <c r="AK31" s="9"/>
      <c r="AL31" s="9"/>
      <c r="AM31" s="9"/>
      <c r="AN31" s="9"/>
      <c r="AO31" s="9"/>
    </row>
    <row r="32" spans="1:41" ht="13.5" customHeight="1">
      <c r="A32" s="511"/>
      <c r="B32" s="512"/>
      <c r="C32" s="512"/>
      <c r="D32" s="513"/>
      <c r="E32" s="29" t="s">
        <v>311</v>
      </c>
      <c r="F32" s="34"/>
      <c r="G32" s="29" t="s">
        <v>312</v>
      </c>
      <c r="H32" s="34"/>
      <c r="I32" s="29" t="s">
        <v>313</v>
      </c>
      <c r="J32" s="34"/>
      <c r="K32" s="3"/>
      <c r="L32" s="4"/>
      <c r="M32" s="184">
        <f t="shared" si="7"/>
        <v>0</v>
      </c>
      <c r="N32" s="5">
        <f t="shared" si="8"/>
        <v>0</v>
      </c>
      <c r="O32" s="9"/>
      <c r="P32" s="9"/>
      <c r="Q32" s="9" t="e">
        <f>MATCH(C5&amp;F32&amp;H32,Sökbegr,0)</f>
        <v>#N/A</v>
      </c>
      <c r="R32" s="9" t="e">
        <f>INDEX(Ersättn,$Q$32)</f>
        <v>#N/A</v>
      </c>
      <c r="S32" s="7" t="e">
        <f>SUM(R32*J5/H5)</f>
        <v>#N/A</v>
      </c>
      <c r="T32" s="9" t="e">
        <f>MATCH(C5&amp;J32,Proddata,0)</f>
        <v>#N/A</v>
      </c>
      <c r="U32" s="9" t="e">
        <f t="shared" si="0"/>
        <v>#N/A</v>
      </c>
      <c r="V32" s="7" t="e">
        <f t="shared" si="1"/>
        <v>#N/A</v>
      </c>
      <c r="W32" s="7" t="e">
        <f t="shared" si="2"/>
        <v>#N/A</v>
      </c>
      <c r="X32" s="7" t="e">
        <f t="shared" si="3"/>
        <v>#N/A</v>
      </c>
      <c r="Y32" s="30">
        <f t="shared" si="6"/>
        <v>0</v>
      </c>
      <c r="Z32" s="9"/>
      <c r="AA32" s="9"/>
      <c r="AB32" s="9"/>
      <c r="AC32" s="9"/>
      <c r="AD32" s="9"/>
      <c r="AE32" s="9"/>
      <c r="AF32" s="9"/>
      <c r="AG32" s="9"/>
      <c r="AH32" s="9"/>
      <c r="AI32" s="9"/>
      <c r="AJ32" s="9"/>
      <c r="AK32" s="9"/>
      <c r="AL32" s="9"/>
      <c r="AM32" s="9"/>
      <c r="AN32" s="9"/>
      <c r="AO32" s="9"/>
    </row>
    <row r="33" spans="1:41" ht="13.5" customHeight="1">
      <c r="A33" s="511"/>
      <c r="B33" s="512"/>
      <c r="C33" s="512"/>
      <c r="D33" s="513"/>
      <c r="E33" s="29" t="s">
        <v>311</v>
      </c>
      <c r="F33" s="34"/>
      <c r="G33" s="29" t="s">
        <v>312</v>
      </c>
      <c r="H33" s="34"/>
      <c r="I33" s="29" t="s">
        <v>313</v>
      </c>
      <c r="J33" s="34"/>
      <c r="K33" s="3"/>
      <c r="L33" s="4"/>
      <c r="M33" s="184">
        <f t="shared" si="7"/>
        <v>0</v>
      </c>
      <c r="N33" s="5">
        <f t="shared" si="8"/>
        <v>0</v>
      </c>
      <c r="O33" s="9"/>
      <c r="P33" s="9"/>
      <c r="Q33" s="9" t="e">
        <f>MATCH(C5&amp;F33&amp;H33,Sökbegr,0)</f>
        <v>#N/A</v>
      </c>
      <c r="R33" s="9" t="e">
        <f>INDEX(Ersättn,$Q$33)</f>
        <v>#N/A</v>
      </c>
      <c r="S33" s="7" t="e">
        <f>SUM(R33*J5/H5)</f>
        <v>#N/A</v>
      </c>
      <c r="T33" s="9" t="e">
        <f>MATCH(C5&amp;J33,Proddata,0)</f>
        <v>#N/A</v>
      </c>
      <c r="U33" s="9" t="e">
        <f t="shared" si="0"/>
        <v>#N/A</v>
      </c>
      <c r="V33" s="7" t="e">
        <f t="shared" si="1"/>
        <v>#N/A</v>
      </c>
      <c r="W33" s="7" t="e">
        <f t="shared" si="2"/>
        <v>#N/A</v>
      </c>
      <c r="X33" s="7" t="e">
        <f t="shared" si="3"/>
        <v>#N/A</v>
      </c>
      <c r="Y33" s="30">
        <f t="shared" si="6"/>
        <v>0</v>
      </c>
      <c r="Z33" s="9"/>
      <c r="AA33" s="9"/>
      <c r="AB33" s="9"/>
      <c r="AC33" s="9"/>
      <c r="AD33" s="9"/>
      <c r="AE33" s="9"/>
      <c r="AF33" s="9"/>
      <c r="AG33" s="9"/>
      <c r="AH33" s="9"/>
      <c r="AI33" s="9"/>
      <c r="AJ33" s="9"/>
      <c r="AK33" s="9"/>
      <c r="AL33" s="9"/>
      <c r="AM33" s="9"/>
      <c r="AN33" s="9"/>
      <c r="AO33" s="9"/>
    </row>
    <row r="34" spans="1:41" ht="13.5" customHeight="1">
      <c r="A34" s="511"/>
      <c r="B34" s="512"/>
      <c r="C34" s="512"/>
      <c r="D34" s="513"/>
      <c r="E34" s="29" t="s">
        <v>311</v>
      </c>
      <c r="F34" s="34"/>
      <c r="G34" s="29" t="s">
        <v>312</v>
      </c>
      <c r="H34" s="34"/>
      <c r="I34" s="29" t="s">
        <v>313</v>
      </c>
      <c r="J34" s="34"/>
      <c r="K34" s="3"/>
      <c r="L34" s="4"/>
      <c r="M34" s="184">
        <f t="shared" si="7"/>
        <v>0</v>
      </c>
      <c r="N34" s="5">
        <f t="shared" si="8"/>
        <v>0</v>
      </c>
      <c r="O34" s="9"/>
      <c r="P34" s="9"/>
      <c r="Q34" s="9" t="e">
        <f>MATCH(C5&amp;F34&amp;H34,Sökbegr,0)</f>
        <v>#N/A</v>
      </c>
      <c r="R34" s="9" t="e">
        <f>INDEX(Ersättn,$Q$34)</f>
        <v>#N/A</v>
      </c>
      <c r="S34" s="7" t="e">
        <f>SUM(R34*J5/H5)</f>
        <v>#N/A</v>
      </c>
      <c r="T34" s="9" t="e">
        <f>MATCH(C5&amp;J34,Proddata,0)</f>
        <v>#N/A</v>
      </c>
      <c r="U34" s="9" t="e">
        <f t="shared" si="0"/>
        <v>#N/A</v>
      </c>
      <c r="V34" s="7" t="e">
        <f t="shared" si="1"/>
        <v>#N/A</v>
      </c>
      <c r="W34" s="7" t="e">
        <f t="shared" si="2"/>
        <v>#N/A</v>
      </c>
      <c r="X34" s="7" t="e">
        <f t="shared" si="3"/>
        <v>#N/A</v>
      </c>
      <c r="Y34" s="30">
        <f t="shared" si="6"/>
        <v>0</v>
      </c>
      <c r="Z34" s="9"/>
      <c r="AA34" s="9"/>
      <c r="AB34" s="9"/>
      <c r="AC34" s="9"/>
      <c r="AD34" s="9"/>
      <c r="AE34" s="9"/>
      <c r="AF34" s="9"/>
      <c r="AG34" s="9"/>
      <c r="AH34" s="9"/>
      <c r="AI34" s="9"/>
      <c r="AJ34" s="9"/>
      <c r="AK34" s="9"/>
      <c r="AL34" s="9"/>
      <c r="AM34" s="9"/>
      <c r="AN34" s="9"/>
      <c r="AO34" s="9"/>
    </row>
    <row r="35" spans="1:41" ht="13.5" customHeight="1">
      <c r="A35" s="511"/>
      <c r="B35" s="512"/>
      <c r="C35" s="512"/>
      <c r="D35" s="513"/>
      <c r="E35" s="29" t="s">
        <v>311</v>
      </c>
      <c r="F35" s="34"/>
      <c r="G35" s="29" t="s">
        <v>312</v>
      </c>
      <c r="H35" s="34"/>
      <c r="I35" s="29" t="s">
        <v>313</v>
      </c>
      <c r="J35" s="34"/>
      <c r="K35" s="3"/>
      <c r="L35" s="4"/>
      <c r="M35" s="184">
        <f t="shared" si="7"/>
        <v>0</v>
      </c>
      <c r="N35" s="5">
        <f t="shared" si="8"/>
        <v>0</v>
      </c>
      <c r="O35" s="9"/>
      <c r="P35" s="9"/>
      <c r="Q35" s="9" t="e">
        <f>MATCH(C5&amp;F35&amp;H35,Sökbegr,0)</f>
        <v>#N/A</v>
      </c>
      <c r="R35" s="9" t="e">
        <f>INDEX(Ersättn,$Q$35)</f>
        <v>#N/A</v>
      </c>
      <c r="S35" s="7" t="e">
        <f>SUM(R35*J5/H5)</f>
        <v>#N/A</v>
      </c>
      <c r="T35" s="9" t="e">
        <f>MATCH(C5&amp;J35,Proddata,0)</f>
        <v>#N/A</v>
      </c>
      <c r="U35" s="9" t="e">
        <f t="shared" si="0"/>
        <v>#N/A</v>
      </c>
      <c r="V35" s="7" t="e">
        <f t="shared" si="1"/>
        <v>#N/A</v>
      </c>
      <c r="W35" s="7" t="e">
        <f t="shared" si="2"/>
        <v>#N/A</v>
      </c>
      <c r="X35" s="7" t="e">
        <f t="shared" si="3"/>
        <v>#N/A</v>
      </c>
      <c r="Y35" s="30">
        <f t="shared" si="6"/>
        <v>0</v>
      </c>
      <c r="Z35" s="9"/>
      <c r="AA35" s="9"/>
      <c r="AB35" s="9"/>
      <c r="AC35" s="9"/>
      <c r="AD35" s="9"/>
      <c r="AE35" s="9"/>
      <c r="AF35" s="9"/>
      <c r="AG35" s="9"/>
      <c r="AH35" s="9"/>
      <c r="AI35" s="9"/>
      <c r="AJ35" s="9"/>
      <c r="AK35" s="9"/>
      <c r="AL35" s="9"/>
      <c r="AM35" s="9"/>
      <c r="AN35" s="9"/>
      <c r="AO35" s="9"/>
    </row>
    <row r="36" spans="1:41" ht="13.5" customHeight="1">
      <c r="A36" s="511"/>
      <c r="B36" s="512"/>
      <c r="C36" s="512"/>
      <c r="D36" s="513"/>
      <c r="E36" s="29" t="s">
        <v>311</v>
      </c>
      <c r="F36" s="34"/>
      <c r="G36" s="29" t="s">
        <v>312</v>
      </c>
      <c r="H36" s="34"/>
      <c r="I36" s="29" t="s">
        <v>313</v>
      </c>
      <c r="J36" s="34"/>
      <c r="K36" s="3"/>
      <c r="L36" s="4"/>
      <c r="M36" s="184">
        <f t="shared" si="7"/>
        <v>0</v>
      </c>
      <c r="N36" s="5">
        <f t="shared" si="8"/>
        <v>0</v>
      </c>
      <c r="O36" s="9"/>
      <c r="P36" s="9"/>
      <c r="Q36" s="9" t="e">
        <f>MATCH(C5&amp;F36&amp;H36,Sökbegr,0)</f>
        <v>#N/A</v>
      </c>
      <c r="R36" s="9" t="e">
        <f>INDEX(Ersättn,$Q$36)</f>
        <v>#N/A</v>
      </c>
      <c r="S36" s="7" t="e">
        <f>SUM(R36*J5/H5)</f>
        <v>#N/A</v>
      </c>
      <c r="T36" s="9" t="e">
        <f>MATCH(C5&amp;J36,Proddata,0)</f>
        <v>#N/A</v>
      </c>
      <c r="U36" s="9" t="e">
        <f t="shared" si="0"/>
        <v>#N/A</v>
      </c>
      <c r="V36" s="7" t="e">
        <f t="shared" si="1"/>
        <v>#N/A</v>
      </c>
      <c r="W36" s="7" t="e">
        <f t="shared" si="2"/>
        <v>#N/A</v>
      </c>
      <c r="X36" s="7" t="e">
        <f t="shared" si="3"/>
        <v>#N/A</v>
      </c>
      <c r="Y36" s="30">
        <f t="shared" si="6"/>
        <v>0</v>
      </c>
      <c r="Z36" s="9"/>
      <c r="AA36" s="9"/>
      <c r="AB36" s="9"/>
      <c r="AC36" s="9"/>
      <c r="AD36" s="9"/>
      <c r="AE36" s="9"/>
      <c r="AF36" s="9"/>
      <c r="AG36" s="9"/>
      <c r="AH36" s="9"/>
      <c r="AI36" s="9"/>
      <c r="AJ36" s="9"/>
      <c r="AK36" s="9"/>
      <c r="AL36" s="9"/>
      <c r="AM36" s="9"/>
      <c r="AN36" s="9"/>
      <c r="AO36" s="9"/>
    </row>
    <row r="37" spans="1:41" ht="13.5" customHeight="1">
      <c r="A37" s="511"/>
      <c r="B37" s="512"/>
      <c r="C37" s="512"/>
      <c r="D37" s="513"/>
      <c r="E37" s="29" t="s">
        <v>311</v>
      </c>
      <c r="F37" s="34"/>
      <c r="G37" s="29" t="s">
        <v>312</v>
      </c>
      <c r="H37" s="34"/>
      <c r="I37" s="29" t="s">
        <v>313</v>
      </c>
      <c r="J37" s="34"/>
      <c r="K37" s="3"/>
      <c r="L37" s="4"/>
      <c r="M37" s="184">
        <f t="shared" si="7"/>
        <v>0</v>
      </c>
      <c r="N37" s="5">
        <f t="shared" si="8"/>
        <v>0</v>
      </c>
      <c r="O37" s="9"/>
      <c r="P37" s="9"/>
      <c r="Q37" s="9" t="e">
        <f>MATCH(C5&amp;F37&amp;H37,Sökbegr,0)</f>
        <v>#N/A</v>
      </c>
      <c r="R37" s="9" t="e">
        <f>INDEX(Ersättn,$Q$37)</f>
        <v>#N/A</v>
      </c>
      <c r="S37" s="7" t="e">
        <f>SUM(R37*J5/H5)</f>
        <v>#N/A</v>
      </c>
      <c r="T37" s="9" t="e">
        <f>MATCH(C5&amp;J37,Proddata,0)</f>
        <v>#N/A</v>
      </c>
      <c r="U37" s="9" t="e">
        <f t="shared" si="0"/>
        <v>#N/A</v>
      </c>
      <c r="V37" s="7" t="e">
        <f t="shared" si="1"/>
        <v>#N/A</v>
      </c>
      <c r="W37" s="7" t="e">
        <f t="shared" si="2"/>
        <v>#N/A</v>
      </c>
      <c r="X37" s="7" t="e">
        <f t="shared" si="3"/>
        <v>#N/A</v>
      </c>
      <c r="Y37" s="30">
        <f t="shared" si="6"/>
        <v>0</v>
      </c>
      <c r="Z37" s="9"/>
      <c r="AA37" s="9"/>
      <c r="AB37" s="9"/>
      <c r="AC37" s="9"/>
      <c r="AD37" s="9"/>
      <c r="AE37" s="9"/>
      <c r="AF37" s="9"/>
      <c r="AG37" s="9"/>
      <c r="AH37" s="9"/>
      <c r="AI37" s="9"/>
      <c r="AJ37" s="9"/>
      <c r="AK37" s="9"/>
      <c r="AL37" s="9"/>
      <c r="AM37" s="9"/>
      <c r="AN37" s="9"/>
      <c r="AO37" s="9"/>
    </row>
    <row r="38" spans="1:41" ht="13.5" customHeight="1">
      <c r="A38" s="511"/>
      <c r="B38" s="512"/>
      <c r="C38" s="512"/>
      <c r="D38" s="513"/>
      <c r="E38" s="29" t="s">
        <v>311</v>
      </c>
      <c r="F38" s="34"/>
      <c r="G38" s="29" t="s">
        <v>312</v>
      </c>
      <c r="H38" s="34"/>
      <c r="I38" s="29" t="s">
        <v>313</v>
      </c>
      <c r="J38" s="34"/>
      <c r="K38" s="3"/>
      <c r="L38" s="4"/>
      <c r="M38" s="184">
        <f t="shared" si="7"/>
        <v>0</v>
      </c>
      <c r="N38" s="5">
        <f t="shared" si="8"/>
        <v>0</v>
      </c>
      <c r="O38" s="9"/>
      <c r="P38" s="9"/>
      <c r="Q38" s="9" t="e">
        <f>MATCH(C5&amp;F38&amp;H38,Sökbegr,0)</f>
        <v>#N/A</v>
      </c>
      <c r="R38" s="9" t="e">
        <f>INDEX(Ersättn,$Q$38)</f>
        <v>#N/A</v>
      </c>
      <c r="S38" s="7" t="e">
        <f>SUM(R38*J5/H5)</f>
        <v>#N/A</v>
      </c>
      <c r="T38" s="9" t="e">
        <f>MATCH(C5&amp;J38,Proddata,0)</f>
        <v>#N/A</v>
      </c>
      <c r="U38" s="9" t="e">
        <f t="shared" si="0"/>
        <v>#N/A</v>
      </c>
      <c r="V38" s="7" t="e">
        <f t="shared" si="1"/>
        <v>#N/A</v>
      </c>
      <c r="W38" s="7" t="e">
        <f t="shared" si="2"/>
        <v>#N/A</v>
      </c>
      <c r="X38" s="7" t="e">
        <f t="shared" si="3"/>
        <v>#N/A</v>
      </c>
      <c r="Y38" s="30">
        <f t="shared" si="6"/>
        <v>0</v>
      </c>
      <c r="Z38" s="9"/>
      <c r="AA38" s="9"/>
      <c r="AB38" s="9"/>
      <c r="AC38" s="9"/>
      <c r="AD38" s="9"/>
      <c r="AE38" s="9"/>
      <c r="AF38" s="9"/>
      <c r="AG38" s="9"/>
      <c r="AH38" s="9"/>
      <c r="AI38" s="9"/>
      <c r="AJ38" s="9"/>
      <c r="AK38" s="9"/>
      <c r="AL38" s="9"/>
      <c r="AM38" s="9"/>
      <c r="AN38" s="9"/>
      <c r="AO38" s="9"/>
    </row>
    <row r="39" spans="1:41" ht="13.5" customHeight="1">
      <c r="A39" s="511"/>
      <c r="B39" s="512"/>
      <c r="C39" s="512"/>
      <c r="D39" s="513"/>
      <c r="E39" s="29" t="s">
        <v>311</v>
      </c>
      <c r="F39" s="34"/>
      <c r="G39" s="29" t="s">
        <v>312</v>
      </c>
      <c r="H39" s="34"/>
      <c r="I39" s="29" t="s">
        <v>313</v>
      </c>
      <c r="J39" s="34"/>
      <c r="K39" s="3"/>
      <c r="L39" s="4"/>
      <c r="M39" s="184">
        <f t="shared" si="7"/>
        <v>0</v>
      </c>
      <c r="N39" s="5">
        <f t="shared" si="8"/>
        <v>0</v>
      </c>
      <c r="O39" s="9"/>
      <c r="P39" s="9"/>
      <c r="Q39" s="9" t="e">
        <f>MATCH(C5&amp;F39&amp;H39,Sökbegr,0)</f>
        <v>#N/A</v>
      </c>
      <c r="R39" s="9" t="e">
        <f>INDEX(Ersättn,$Q$39)</f>
        <v>#N/A</v>
      </c>
      <c r="S39" s="7" t="e">
        <f>SUM(R39*J5/H5)</f>
        <v>#N/A</v>
      </c>
      <c r="T39" s="9" t="e">
        <f>MATCH(C5&amp;J39,Proddata,0)</f>
        <v>#N/A</v>
      </c>
      <c r="U39" s="9" t="e">
        <f t="shared" si="0"/>
        <v>#N/A</v>
      </c>
      <c r="V39" s="7" t="e">
        <f t="shared" si="1"/>
        <v>#N/A</v>
      </c>
      <c r="W39" s="7" t="e">
        <f t="shared" si="2"/>
        <v>#N/A</v>
      </c>
      <c r="X39" s="7" t="e">
        <f t="shared" si="3"/>
        <v>#N/A</v>
      </c>
      <c r="Y39" s="30">
        <f t="shared" si="6"/>
        <v>0</v>
      </c>
      <c r="Z39" s="9"/>
      <c r="AA39" s="9"/>
      <c r="AB39" s="9"/>
      <c r="AC39" s="9"/>
      <c r="AD39" s="9"/>
      <c r="AE39" s="9"/>
      <c r="AF39" s="9"/>
      <c r="AG39" s="9"/>
      <c r="AH39" s="9"/>
      <c r="AI39" s="9"/>
      <c r="AJ39" s="9"/>
      <c r="AK39" s="9"/>
      <c r="AL39" s="9"/>
      <c r="AM39" s="9"/>
      <c r="AN39" s="9"/>
      <c r="AO39" s="9"/>
    </row>
    <row r="40" spans="1:41" ht="13.5" customHeight="1">
      <c r="A40" s="511"/>
      <c r="B40" s="512"/>
      <c r="C40" s="512"/>
      <c r="D40" s="513"/>
      <c r="E40" s="29" t="s">
        <v>311</v>
      </c>
      <c r="F40" s="34"/>
      <c r="G40" s="29" t="s">
        <v>312</v>
      </c>
      <c r="H40" s="34"/>
      <c r="I40" s="29" t="s">
        <v>313</v>
      </c>
      <c r="J40" s="34"/>
      <c r="K40" s="3"/>
      <c r="L40" s="4"/>
      <c r="M40" s="184">
        <f t="shared" si="7"/>
        <v>0</v>
      </c>
      <c r="N40" s="5">
        <f t="shared" si="8"/>
        <v>0</v>
      </c>
      <c r="O40" s="9"/>
      <c r="P40" s="9"/>
      <c r="Q40" s="9" t="e">
        <f>MATCH(C5&amp;F40&amp;H40,Sökbegr,0)</f>
        <v>#N/A</v>
      </c>
      <c r="R40" s="9" t="e">
        <f>INDEX(Ersättn,$Q$40)</f>
        <v>#N/A</v>
      </c>
      <c r="S40" s="7" t="e">
        <f>SUM(R40*J5/H5)</f>
        <v>#N/A</v>
      </c>
      <c r="T40" s="9" t="e">
        <f>MATCH(C5&amp;J40,Proddata,0)</f>
        <v>#N/A</v>
      </c>
      <c r="U40" s="9" t="e">
        <f t="shared" si="0"/>
        <v>#N/A</v>
      </c>
      <c r="V40" s="7" t="e">
        <f t="shared" si="1"/>
        <v>#N/A</v>
      </c>
      <c r="W40" s="7" t="e">
        <f t="shared" si="2"/>
        <v>#N/A</v>
      </c>
      <c r="X40" s="7" t="e">
        <f t="shared" si="3"/>
        <v>#N/A</v>
      </c>
      <c r="Y40" s="30">
        <f t="shared" si="6"/>
        <v>0</v>
      </c>
      <c r="Z40" s="9"/>
      <c r="AA40" s="9"/>
      <c r="AB40" s="9"/>
      <c r="AC40" s="9"/>
      <c r="AD40" s="9"/>
      <c r="AE40" s="9"/>
      <c r="AF40" s="9"/>
      <c r="AG40" s="9"/>
      <c r="AH40" s="9"/>
      <c r="AI40" s="9"/>
      <c r="AJ40" s="9"/>
      <c r="AK40" s="9"/>
      <c r="AL40" s="9"/>
      <c r="AM40" s="9"/>
      <c r="AN40" s="9"/>
      <c r="AO40" s="9"/>
    </row>
    <row r="41" spans="1:41" ht="13.5" customHeight="1">
      <c r="A41" s="511"/>
      <c r="B41" s="512"/>
      <c r="C41" s="512"/>
      <c r="D41" s="513"/>
      <c r="E41" s="29" t="s">
        <v>311</v>
      </c>
      <c r="F41" s="34"/>
      <c r="G41" s="29" t="s">
        <v>312</v>
      </c>
      <c r="H41" s="34"/>
      <c r="I41" s="29" t="s">
        <v>313</v>
      </c>
      <c r="J41" s="34"/>
      <c r="K41" s="3"/>
      <c r="L41" s="4"/>
      <c r="M41" s="184">
        <f t="shared" si="7"/>
        <v>0</v>
      </c>
      <c r="N41" s="5">
        <f t="shared" si="8"/>
        <v>0</v>
      </c>
      <c r="O41" s="9"/>
      <c r="P41" s="9"/>
      <c r="Q41" s="9" t="e">
        <f>MATCH(C5&amp;F41&amp;H41,Sökbegr,0)</f>
        <v>#N/A</v>
      </c>
      <c r="R41" s="9" t="e">
        <f>INDEX(Ersättn,$Q$41)</f>
        <v>#N/A</v>
      </c>
      <c r="S41" s="7" t="e">
        <f>SUM(R41*J5/H5)</f>
        <v>#N/A</v>
      </c>
      <c r="T41" s="9" t="e">
        <f>MATCH(C5&amp;J41,Proddata,0)</f>
        <v>#N/A</v>
      </c>
      <c r="U41" s="9" t="e">
        <f t="shared" si="0"/>
        <v>#N/A</v>
      </c>
      <c r="V41" s="7" t="e">
        <f t="shared" si="1"/>
        <v>#N/A</v>
      </c>
      <c r="W41" s="7" t="e">
        <f t="shared" si="2"/>
        <v>#N/A</v>
      </c>
      <c r="X41" s="7" t="e">
        <f t="shared" si="3"/>
        <v>#N/A</v>
      </c>
      <c r="Y41" s="30">
        <f t="shared" si="6"/>
        <v>0</v>
      </c>
      <c r="Z41" s="9"/>
      <c r="AA41" s="9"/>
      <c r="AB41" s="9"/>
      <c r="AC41" s="9"/>
      <c r="AD41" s="9"/>
      <c r="AE41" s="9"/>
      <c r="AF41" s="9"/>
      <c r="AG41" s="9"/>
      <c r="AH41" s="9"/>
      <c r="AI41" s="9"/>
      <c r="AJ41" s="9"/>
      <c r="AK41" s="9"/>
      <c r="AL41" s="9"/>
      <c r="AM41" s="9"/>
      <c r="AN41" s="9"/>
      <c r="AO41" s="9"/>
    </row>
    <row r="42" spans="1:41" ht="13.5" customHeight="1">
      <c r="A42" s="511"/>
      <c r="B42" s="512"/>
      <c r="C42" s="512"/>
      <c r="D42" s="513"/>
      <c r="E42" s="29" t="s">
        <v>311</v>
      </c>
      <c r="F42" s="34"/>
      <c r="G42" s="29" t="s">
        <v>312</v>
      </c>
      <c r="H42" s="34"/>
      <c r="I42" s="29" t="s">
        <v>313</v>
      </c>
      <c r="J42" s="34"/>
      <c r="K42" s="3"/>
      <c r="L42" s="4"/>
      <c r="M42" s="184">
        <f t="shared" si="7"/>
        <v>0</v>
      </c>
      <c r="N42" s="5">
        <f t="shared" si="8"/>
        <v>0</v>
      </c>
      <c r="O42" s="9"/>
      <c r="P42" s="9"/>
      <c r="Q42" s="9" t="e">
        <f>MATCH(C5&amp;F42&amp;H42,Sökbegr,0)</f>
        <v>#N/A</v>
      </c>
      <c r="R42" s="9" t="e">
        <f>INDEX(Ersättn,$Q$42)</f>
        <v>#N/A</v>
      </c>
      <c r="S42" s="7" t="e">
        <f>SUM(R42*J5/H5)</f>
        <v>#N/A</v>
      </c>
      <c r="T42" s="9" t="e">
        <f>MATCH(C5&amp;J42,Proddata,0)</f>
        <v>#N/A</v>
      </c>
      <c r="U42" s="9" t="e">
        <f t="shared" si="0"/>
        <v>#N/A</v>
      </c>
      <c r="V42" s="7" t="e">
        <f t="shared" si="1"/>
        <v>#N/A</v>
      </c>
      <c r="W42" s="7" t="e">
        <f t="shared" si="2"/>
        <v>#N/A</v>
      </c>
      <c r="X42" s="7" t="e">
        <f t="shared" si="3"/>
        <v>#N/A</v>
      </c>
      <c r="Y42" s="30">
        <f t="shared" si="6"/>
        <v>0</v>
      </c>
      <c r="Z42" s="9"/>
      <c r="AA42" s="9"/>
      <c r="AB42" s="9"/>
      <c r="AC42" s="9"/>
      <c r="AD42" s="9"/>
      <c r="AE42" s="9"/>
      <c r="AF42" s="9"/>
      <c r="AG42" s="9"/>
      <c r="AH42" s="9"/>
      <c r="AI42" s="9"/>
      <c r="AJ42" s="9"/>
      <c r="AK42" s="9"/>
      <c r="AL42" s="9"/>
      <c r="AM42" s="9"/>
      <c r="AN42" s="9"/>
      <c r="AO42" s="9"/>
    </row>
    <row r="43" spans="1:41" ht="13.5" customHeight="1">
      <c r="A43" s="511"/>
      <c r="B43" s="512"/>
      <c r="C43" s="512"/>
      <c r="D43" s="513"/>
      <c r="E43" s="29" t="s">
        <v>311</v>
      </c>
      <c r="F43" s="34"/>
      <c r="G43" s="29" t="s">
        <v>312</v>
      </c>
      <c r="H43" s="34"/>
      <c r="I43" s="29" t="s">
        <v>313</v>
      </c>
      <c r="J43" s="34"/>
      <c r="K43" s="3"/>
      <c r="L43" s="4"/>
      <c r="M43" s="184">
        <f t="shared" si="7"/>
        <v>0</v>
      </c>
      <c r="N43" s="5">
        <f t="shared" si="8"/>
        <v>0</v>
      </c>
      <c r="O43" s="9"/>
      <c r="P43" s="9"/>
      <c r="Q43" s="9" t="e">
        <f>MATCH(C5&amp;F43&amp;H43,Sökbegr,0)</f>
        <v>#N/A</v>
      </c>
      <c r="R43" s="9" t="e">
        <f>INDEX(Ersättn,$Q$43)</f>
        <v>#N/A</v>
      </c>
      <c r="S43" s="7" t="e">
        <f>SUM(R43*J5/H5)</f>
        <v>#N/A</v>
      </c>
      <c r="T43" s="9" t="e">
        <f>MATCH(C5&amp;J43,Proddata,0)</f>
        <v>#N/A</v>
      </c>
      <c r="U43" s="9" t="e">
        <f t="shared" si="0"/>
        <v>#N/A</v>
      </c>
      <c r="V43" s="7" t="e">
        <f t="shared" si="1"/>
        <v>#N/A</v>
      </c>
      <c r="W43" s="7" t="e">
        <f t="shared" si="2"/>
        <v>#N/A</v>
      </c>
      <c r="X43" s="7" t="e">
        <f t="shared" si="3"/>
        <v>#N/A</v>
      </c>
      <c r="Y43" s="30">
        <f t="shared" si="6"/>
        <v>0</v>
      </c>
      <c r="Z43" s="9"/>
      <c r="AA43" s="9"/>
      <c r="AB43" s="9"/>
      <c r="AC43" s="9"/>
      <c r="AD43" s="9"/>
      <c r="AE43" s="9"/>
      <c r="AF43" s="9"/>
      <c r="AG43" s="9"/>
      <c r="AH43" s="9"/>
      <c r="AI43" s="9"/>
      <c r="AJ43" s="9"/>
      <c r="AK43" s="9"/>
      <c r="AL43" s="9"/>
      <c r="AM43" s="9"/>
      <c r="AN43" s="9"/>
      <c r="AO43" s="9"/>
    </row>
    <row r="44" spans="1:41" ht="13.5" customHeight="1">
      <c r="A44" s="511"/>
      <c r="B44" s="512"/>
      <c r="C44" s="512"/>
      <c r="D44" s="513"/>
      <c r="E44" s="29" t="s">
        <v>311</v>
      </c>
      <c r="F44" s="34"/>
      <c r="G44" s="29" t="s">
        <v>312</v>
      </c>
      <c r="H44" s="34"/>
      <c r="I44" s="29" t="s">
        <v>313</v>
      </c>
      <c r="J44" s="34"/>
      <c r="K44" s="3"/>
      <c r="L44" s="4"/>
      <c r="M44" s="184">
        <f t="shared" si="7"/>
        <v>0</v>
      </c>
      <c r="N44" s="5">
        <f t="shared" si="8"/>
        <v>0</v>
      </c>
      <c r="O44" s="9"/>
      <c r="P44" s="9"/>
      <c r="Q44" s="9" t="e">
        <f>MATCH(C5&amp;F44&amp;H44,Sökbegr,0)</f>
        <v>#N/A</v>
      </c>
      <c r="R44" s="9" t="e">
        <f>INDEX(Ersättn,$Q$44)</f>
        <v>#N/A</v>
      </c>
      <c r="S44" s="7" t="e">
        <f>SUM(R44*J5/H5)</f>
        <v>#N/A</v>
      </c>
      <c r="T44" s="9" t="e">
        <f>MATCH(C5&amp;J44,Proddata,0)</f>
        <v>#N/A</v>
      </c>
      <c r="U44" s="9" t="e">
        <f t="shared" si="0"/>
        <v>#N/A</v>
      </c>
      <c r="V44" s="7" t="e">
        <f t="shared" si="1"/>
        <v>#N/A</v>
      </c>
      <c r="W44" s="7" t="e">
        <f t="shared" si="2"/>
        <v>#N/A</v>
      </c>
      <c r="X44" s="7" t="e">
        <f t="shared" si="3"/>
        <v>#N/A</v>
      </c>
      <c r="Y44" s="30">
        <f t="shared" si="6"/>
        <v>0</v>
      </c>
      <c r="Z44" s="9"/>
      <c r="AA44" s="9"/>
      <c r="AB44" s="9"/>
      <c r="AC44" s="9"/>
      <c r="AD44" s="9"/>
      <c r="AE44" s="9"/>
      <c r="AF44" s="9"/>
      <c r="AG44" s="9"/>
      <c r="AH44" s="9"/>
      <c r="AI44" s="9"/>
      <c r="AJ44" s="9"/>
      <c r="AK44" s="9"/>
      <c r="AL44" s="9"/>
      <c r="AM44" s="9"/>
      <c r="AN44" s="9"/>
      <c r="AO44" s="9"/>
    </row>
    <row r="45" spans="1:41" ht="13.5" customHeight="1">
      <c r="A45" s="511"/>
      <c r="B45" s="512"/>
      <c r="C45" s="512"/>
      <c r="D45" s="513"/>
      <c r="E45" s="29" t="s">
        <v>311</v>
      </c>
      <c r="F45" s="34"/>
      <c r="G45" s="29" t="s">
        <v>312</v>
      </c>
      <c r="H45" s="34"/>
      <c r="I45" s="29" t="s">
        <v>313</v>
      </c>
      <c r="J45" s="34"/>
      <c r="K45" s="3"/>
      <c r="L45" s="4"/>
      <c r="M45" s="184">
        <f t="shared" si="7"/>
        <v>0</v>
      </c>
      <c r="N45" s="5">
        <f t="shared" si="8"/>
        <v>0</v>
      </c>
      <c r="O45" s="9"/>
      <c r="P45" s="9"/>
      <c r="Q45" s="9" t="e">
        <f>MATCH(C5&amp;F45&amp;H45,Sökbegr,0)</f>
        <v>#N/A</v>
      </c>
      <c r="R45" s="9" t="e">
        <f>INDEX(Ersättn,$Q$45)</f>
        <v>#N/A</v>
      </c>
      <c r="S45" s="7" t="e">
        <f>SUM(R45*J5/H5)</f>
        <v>#N/A</v>
      </c>
      <c r="T45" s="9" t="e">
        <f>MATCH(C5&amp;J45,Proddata,0)</f>
        <v>#N/A</v>
      </c>
      <c r="U45" s="9" t="e">
        <f t="shared" si="0"/>
        <v>#N/A</v>
      </c>
      <c r="V45" s="7" t="e">
        <f t="shared" si="1"/>
        <v>#N/A</v>
      </c>
      <c r="W45" s="7" t="e">
        <f t="shared" si="2"/>
        <v>#N/A</v>
      </c>
      <c r="X45" s="7" t="e">
        <f t="shared" si="3"/>
        <v>#N/A</v>
      </c>
      <c r="Y45" s="30">
        <f t="shared" si="6"/>
        <v>0</v>
      </c>
      <c r="Z45" s="9"/>
      <c r="AA45" s="9"/>
      <c r="AB45" s="9"/>
      <c r="AC45" s="9"/>
      <c r="AD45" s="9"/>
      <c r="AE45" s="9"/>
      <c r="AF45" s="9"/>
      <c r="AG45" s="9"/>
      <c r="AH45" s="9"/>
      <c r="AI45" s="9"/>
      <c r="AJ45" s="9"/>
      <c r="AK45" s="9"/>
      <c r="AL45" s="9"/>
      <c r="AM45" s="9"/>
      <c r="AN45" s="9"/>
      <c r="AO45" s="9"/>
    </row>
    <row r="46" spans="1:41" ht="13.5" customHeight="1">
      <c r="A46" s="511"/>
      <c r="B46" s="512"/>
      <c r="C46" s="512"/>
      <c r="D46" s="513"/>
      <c r="E46" s="29" t="s">
        <v>311</v>
      </c>
      <c r="F46" s="34"/>
      <c r="G46" s="29" t="s">
        <v>312</v>
      </c>
      <c r="H46" s="34"/>
      <c r="I46" s="29" t="s">
        <v>313</v>
      </c>
      <c r="J46" s="34"/>
      <c r="K46" s="3"/>
      <c r="L46" s="4"/>
      <c r="M46" s="184">
        <f t="shared" si="7"/>
        <v>0</v>
      </c>
      <c r="N46" s="5">
        <f t="shared" si="8"/>
        <v>0</v>
      </c>
      <c r="O46" s="9"/>
      <c r="P46" s="9"/>
      <c r="Q46" s="9" t="e">
        <f>MATCH(C5&amp;F46&amp;H46,Sökbegr,0)</f>
        <v>#N/A</v>
      </c>
      <c r="R46" s="9" t="e">
        <f>INDEX(Ersättn,$Q$46)</f>
        <v>#N/A</v>
      </c>
      <c r="S46" s="7" t="e">
        <f>SUM(R46*J5/H5)</f>
        <v>#N/A</v>
      </c>
      <c r="T46" s="9" t="e">
        <f>MATCH(C5&amp;J46,Proddata,0)</f>
        <v>#N/A</v>
      </c>
      <c r="U46" s="9" t="e">
        <f t="shared" si="0"/>
        <v>#N/A</v>
      </c>
      <c r="V46" s="7" t="e">
        <f t="shared" si="1"/>
        <v>#N/A</v>
      </c>
      <c r="W46" s="7" t="e">
        <f t="shared" si="2"/>
        <v>#N/A</v>
      </c>
      <c r="X46" s="7" t="e">
        <f t="shared" si="3"/>
        <v>#N/A</v>
      </c>
      <c r="Y46" s="30">
        <f t="shared" si="6"/>
        <v>0</v>
      </c>
      <c r="Z46" s="9"/>
      <c r="AA46" s="9"/>
      <c r="AB46" s="9"/>
      <c r="AC46" s="9"/>
      <c r="AD46" s="9"/>
      <c r="AE46" s="9"/>
      <c r="AF46" s="9"/>
      <c r="AG46" s="9"/>
      <c r="AH46" s="9"/>
      <c r="AI46" s="9"/>
      <c r="AJ46" s="9"/>
      <c r="AK46" s="9"/>
      <c r="AL46" s="9"/>
      <c r="AM46" s="9"/>
      <c r="AN46" s="9"/>
      <c r="AO46" s="9"/>
    </row>
    <row r="47" spans="1:41" ht="13.5" customHeight="1">
      <c r="A47" s="511"/>
      <c r="B47" s="512"/>
      <c r="C47" s="512"/>
      <c r="D47" s="513"/>
      <c r="E47" s="29" t="s">
        <v>311</v>
      </c>
      <c r="F47" s="34"/>
      <c r="G47" s="29" t="s">
        <v>312</v>
      </c>
      <c r="H47" s="34"/>
      <c r="I47" s="29" t="s">
        <v>313</v>
      </c>
      <c r="J47" s="34"/>
      <c r="K47" s="3"/>
      <c r="L47" s="4"/>
      <c r="M47" s="184">
        <f t="shared" si="7"/>
        <v>0</v>
      </c>
      <c r="N47" s="5">
        <f t="shared" si="8"/>
        <v>0</v>
      </c>
      <c r="O47" s="9"/>
      <c r="P47" s="9"/>
      <c r="Q47" s="9" t="e">
        <f>MATCH(C5&amp;F47&amp;H47,Sökbegr,0)</f>
        <v>#N/A</v>
      </c>
      <c r="R47" s="9" t="e">
        <f>INDEX(Ersättn,$Q$47)</f>
        <v>#N/A</v>
      </c>
      <c r="S47" s="7" t="e">
        <f>SUM(R47*J5/H5)</f>
        <v>#N/A</v>
      </c>
      <c r="T47" s="9" t="e">
        <f>MATCH(C5&amp;J47,Proddata,0)</f>
        <v>#N/A</v>
      </c>
      <c r="U47" s="9" t="e">
        <f t="shared" si="0"/>
        <v>#N/A</v>
      </c>
      <c r="V47" s="7" t="e">
        <f t="shared" si="1"/>
        <v>#N/A</v>
      </c>
      <c r="W47" s="7" t="e">
        <f t="shared" si="2"/>
        <v>#N/A</v>
      </c>
      <c r="X47" s="7" t="e">
        <f t="shared" si="3"/>
        <v>#N/A</v>
      </c>
      <c r="Y47" s="30">
        <f t="shared" si="6"/>
        <v>0</v>
      </c>
      <c r="Z47" s="9"/>
      <c r="AA47" s="9"/>
      <c r="AB47" s="9"/>
      <c r="AC47" s="9"/>
      <c r="AD47" s="9"/>
      <c r="AE47" s="9"/>
      <c r="AF47" s="9"/>
      <c r="AG47" s="9"/>
      <c r="AH47" s="9"/>
      <c r="AI47" s="9"/>
      <c r="AJ47" s="9"/>
      <c r="AK47" s="9"/>
      <c r="AL47" s="9"/>
      <c r="AM47" s="9"/>
      <c r="AN47" s="9"/>
      <c r="AO47" s="9"/>
    </row>
    <row r="48" spans="1:41" ht="13.5" customHeight="1">
      <c r="A48" s="511"/>
      <c r="B48" s="512"/>
      <c r="C48" s="512"/>
      <c r="D48" s="513"/>
      <c r="E48" s="29" t="s">
        <v>311</v>
      </c>
      <c r="F48" s="34"/>
      <c r="G48" s="29" t="s">
        <v>312</v>
      </c>
      <c r="H48" s="34"/>
      <c r="I48" s="29" t="s">
        <v>313</v>
      </c>
      <c r="J48" s="34"/>
      <c r="K48" s="3"/>
      <c r="L48" s="4"/>
      <c r="M48" s="184">
        <f t="shared" si="7"/>
        <v>0</v>
      </c>
      <c r="N48" s="5">
        <f t="shared" si="8"/>
        <v>0</v>
      </c>
      <c r="O48" s="9"/>
      <c r="P48" s="9"/>
      <c r="Q48" s="9" t="e">
        <f>MATCH(C5&amp;F48&amp;H48,Sökbegr,0)</f>
        <v>#N/A</v>
      </c>
      <c r="R48" s="9" t="e">
        <f>INDEX(Ersättn,$Q$48)</f>
        <v>#N/A</v>
      </c>
      <c r="S48" s="7" t="e">
        <f>SUM(R48*J5/H5)</f>
        <v>#N/A</v>
      </c>
      <c r="T48" s="9" t="e">
        <f>MATCH(C5&amp;J48,Proddata,0)</f>
        <v>#N/A</v>
      </c>
      <c r="U48" s="9" t="e">
        <f t="shared" si="0"/>
        <v>#N/A</v>
      </c>
      <c r="V48" s="7" t="e">
        <f t="shared" si="1"/>
        <v>#N/A</v>
      </c>
      <c r="W48" s="7" t="e">
        <f t="shared" si="2"/>
        <v>#N/A</v>
      </c>
      <c r="X48" s="7" t="e">
        <f t="shared" si="3"/>
        <v>#N/A</v>
      </c>
      <c r="Y48" s="30">
        <f t="shared" si="6"/>
        <v>0</v>
      </c>
      <c r="Z48" s="9"/>
      <c r="AA48" s="9"/>
      <c r="AB48" s="9"/>
      <c r="AC48" s="9"/>
      <c r="AD48" s="9"/>
      <c r="AE48" s="9"/>
      <c r="AF48" s="9"/>
      <c r="AG48" s="9"/>
      <c r="AH48" s="9"/>
      <c r="AI48" s="9"/>
      <c r="AJ48" s="9"/>
      <c r="AK48" s="9"/>
      <c r="AL48" s="9"/>
      <c r="AM48" s="9"/>
      <c r="AN48" s="9"/>
      <c r="AO48" s="9"/>
    </row>
    <row r="49" spans="1:41" ht="13.5" customHeight="1">
      <c r="A49" s="511"/>
      <c r="B49" s="512"/>
      <c r="C49" s="512"/>
      <c r="D49" s="513"/>
      <c r="E49" s="29" t="s">
        <v>311</v>
      </c>
      <c r="F49" s="34"/>
      <c r="G49" s="29" t="s">
        <v>312</v>
      </c>
      <c r="H49" s="34"/>
      <c r="I49" s="29" t="s">
        <v>313</v>
      </c>
      <c r="J49" s="34"/>
      <c r="K49" s="3"/>
      <c r="L49" s="4"/>
      <c r="M49" s="184">
        <f t="shared" si="7"/>
        <v>0</v>
      </c>
      <c r="N49" s="5">
        <f t="shared" si="8"/>
        <v>0</v>
      </c>
      <c r="O49" s="9"/>
      <c r="P49" s="9"/>
      <c r="Q49" s="9" t="e">
        <f>MATCH(C5&amp;F49&amp;H49,Sökbegr,0)</f>
        <v>#N/A</v>
      </c>
      <c r="R49" s="9" t="e">
        <f>INDEX(Ersättn,$Q$49)</f>
        <v>#N/A</v>
      </c>
      <c r="S49" s="7" t="e">
        <f>SUM(R49*J5/H5)</f>
        <v>#N/A</v>
      </c>
      <c r="T49" s="9" t="e">
        <f>MATCH(C5&amp;J49,Proddata,0)</f>
        <v>#N/A</v>
      </c>
      <c r="U49" s="9" t="e">
        <f t="shared" si="0"/>
        <v>#N/A</v>
      </c>
      <c r="V49" s="7" t="e">
        <f t="shared" si="1"/>
        <v>#N/A</v>
      </c>
      <c r="W49" s="7" t="e">
        <f t="shared" si="2"/>
        <v>#N/A</v>
      </c>
      <c r="X49" s="7" t="e">
        <f t="shared" si="3"/>
        <v>#N/A</v>
      </c>
      <c r="Y49" s="30">
        <f t="shared" si="6"/>
        <v>0</v>
      </c>
      <c r="Z49" s="9"/>
      <c r="AA49" s="9"/>
      <c r="AB49" s="9"/>
      <c r="AC49" s="9"/>
      <c r="AD49" s="9"/>
      <c r="AE49" s="9"/>
      <c r="AF49" s="9"/>
      <c r="AG49" s="9"/>
      <c r="AH49" s="9"/>
      <c r="AI49" s="9"/>
      <c r="AJ49" s="9"/>
      <c r="AK49" s="9"/>
      <c r="AL49" s="9"/>
      <c r="AM49" s="9"/>
      <c r="AN49" s="9"/>
      <c r="AO49" s="9"/>
    </row>
    <row r="50" spans="1:41" ht="13.5" customHeight="1">
      <c r="A50" s="511"/>
      <c r="B50" s="512"/>
      <c r="C50" s="512"/>
      <c r="D50" s="513"/>
      <c r="E50" s="29" t="s">
        <v>311</v>
      </c>
      <c r="F50" s="34"/>
      <c r="G50" s="29" t="s">
        <v>312</v>
      </c>
      <c r="H50" s="34"/>
      <c r="I50" s="29" t="s">
        <v>313</v>
      </c>
      <c r="J50" s="34"/>
      <c r="K50" s="3"/>
      <c r="L50" s="4"/>
      <c r="M50" s="184">
        <f t="shared" si="7"/>
        <v>0</v>
      </c>
      <c r="N50" s="5">
        <f t="shared" si="8"/>
        <v>0</v>
      </c>
      <c r="O50" s="9"/>
      <c r="P50" s="9"/>
      <c r="Q50" s="9" t="e">
        <f>MATCH(C5&amp;F50&amp;H50,Sökbegr,0)</f>
        <v>#N/A</v>
      </c>
      <c r="R50" s="9" t="e">
        <f>INDEX(Ersättn,$Q$50)</f>
        <v>#N/A</v>
      </c>
      <c r="S50" s="7" t="e">
        <f>SUM(R50*J5/H5)</f>
        <v>#N/A</v>
      </c>
      <c r="T50" s="9" t="e">
        <f>MATCH(C5&amp;J50,Proddata,0)</f>
        <v>#N/A</v>
      </c>
      <c r="U50" s="9" t="e">
        <f t="shared" si="0"/>
        <v>#N/A</v>
      </c>
      <c r="V50" s="7" t="e">
        <f t="shared" si="1"/>
        <v>#N/A</v>
      </c>
      <c r="W50" s="7" t="e">
        <f t="shared" si="2"/>
        <v>#N/A</v>
      </c>
      <c r="X50" s="7" t="e">
        <f t="shared" si="3"/>
        <v>#N/A</v>
      </c>
      <c r="Y50" s="30">
        <f t="shared" si="6"/>
        <v>0</v>
      </c>
      <c r="Z50" s="9"/>
      <c r="AA50" s="9"/>
      <c r="AB50" s="9"/>
      <c r="AC50" s="9"/>
      <c r="AD50" s="9"/>
      <c r="AE50" s="9"/>
      <c r="AF50" s="9"/>
      <c r="AG50" s="9"/>
      <c r="AH50" s="9"/>
      <c r="AI50" s="9"/>
      <c r="AJ50" s="9"/>
      <c r="AK50" s="9"/>
      <c r="AL50" s="9"/>
      <c r="AM50" s="9"/>
      <c r="AN50" s="9"/>
      <c r="AO50" s="9"/>
    </row>
    <row r="51" spans="1:41" ht="22.5" customHeight="1">
      <c r="A51" s="31"/>
      <c r="B51" s="32"/>
      <c r="C51" s="32"/>
      <c r="D51" s="32"/>
      <c r="E51" s="32"/>
      <c r="F51" s="32"/>
      <c r="G51" s="32"/>
      <c r="H51" s="32"/>
      <c r="I51" s="32"/>
      <c r="J51" s="32"/>
      <c r="K51" s="33" t="s">
        <v>314</v>
      </c>
      <c r="L51" s="32"/>
      <c r="M51" s="185">
        <f>SUM(M8:M50)</f>
        <v>0</v>
      </c>
      <c r="N51" s="6">
        <f>SUM(N8:N50)</f>
        <v>0</v>
      </c>
      <c r="O51" s="9"/>
      <c r="P51" s="9"/>
      <c r="Q51" s="9"/>
      <c r="R51" s="9"/>
      <c r="S51" s="9"/>
      <c r="T51" s="9"/>
      <c r="U51" s="9"/>
      <c r="V51" s="9"/>
      <c r="W51" s="9"/>
      <c r="X51" s="9"/>
      <c r="Y51" s="10"/>
      <c r="Z51" s="9"/>
      <c r="AA51" s="9"/>
      <c r="AB51" s="9"/>
      <c r="AC51" s="9"/>
      <c r="AD51" s="9"/>
      <c r="AE51" s="9"/>
      <c r="AF51" s="9"/>
      <c r="AG51" s="9"/>
      <c r="AH51" s="9"/>
      <c r="AI51" s="9"/>
      <c r="AJ51" s="9"/>
      <c r="AK51" s="9"/>
      <c r="AL51" s="9"/>
      <c r="AM51" s="9"/>
      <c r="AN51" s="9"/>
      <c r="AO51" s="9"/>
    </row>
    <row r="52" spans="1:41">
      <c r="A52" s="9"/>
      <c r="B52" s="9"/>
      <c r="C52" s="9"/>
      <c r="D52" s="9"/>
      <c r="E52" s="9"/>
      <c r="F52" s="9"/>
      <c r="G52" s="120" t="s">
        <v>315</v>
      </c>
      <c r="H52" s="9"/>
      <c r="I52" s="120"/>
      <c r="J52" s="9"/>
      <c r="K52" s="120"/>
      <c r="L52" s="9"/>
      <c r="M52" s="9"/>
      <c r="N52" s="188">
        <f>N51-M51</f>
        <v>0</v>
      </c>
      <c r="O52" s="9"/>
      <c r="P52" s="9"/>
      <c r="Q52" s="9"/>
      <c r="R52" s="9"/>
      <c r="S52" s="9"/>
      <c r="T52" s="9"/>
      <c r="U52" s="9"/>
      <c r="V52" s="9"/>
      <c r="W52" s="9"/>
      <c r="X52" s="9"/>
      <c r="Y52" s="10"/>
      <c r="Z52" s="9"/>
      <c r="AA52" s="9"/>
      <c r="AB52" s="9"/>
      <c r="AC52" s="9"/>
      <c r="AD52" s="9"/>
      <c r="AE52" s="9"/>
      <c r="AF52" s="9"/>
      <c r="AG52" s="9"/>
      <c r="AH52" s="9"/>
      <c r="AI52" s="9"/>
      <c r="AJ52" s="9"/>
      <c r="AK52" s="9"/>
      <c r="AL52" s="9"/>
      <c r="AM52" s="9"/>
      <c r="AN52" s="9"/>
      <c r="AO52" s="9"/>
    </row>
    <row r="53" spans="1:41">
      <c r="A53" s="9"/>
      <c r="B53" s="9"/>
      <c r="C53" s="9"/>
      <c r="D53" s="9"/>
      <c r="E53" s="9"/>
      <c r="F53" s="9"/>
      <c r="G53" s="9"/>
      <c r="H53" s="9"/>
      <c r="I53" s="9"/>
      <c r="J53" s="9"/>
      <c r="K53" s="9"/>
      <c r="L53" s="9"/>
      <c r="M53" s="9"/>
      <c r="N53" s="9"/>
      <c r="O53" s="9"/>
      <c r="P53" s="9"/>
      <c r="Q53" s="9"/>
      <c r="R53" s="9"/>
      <c r="S53" s="9"/>
      <c r="T53" s="9"/>
      <c r="U53" s="9"/>
      <c r="V53" s="9"/>
      <c r="W53" s="9"/>
      <c r="X53" s="9"/>
      <c r="Y53" s="10"/>
      <c r="Z53" s="9"/>
      <c r="AA53" s="9"/>
      <c r="AB53" s="9"/>
      <c r="AC53" s="9"/>
      <c r="AD53" s="9"/>
      <c r="AE53" s="9"/>
      <c r="AF53" s="9"/>
      <c r="AG53" s="9"/>
      <c r="AH53" s="9"/>
      <c r="AI53" s="9"/>
      <c r="AJ53" s="9"/>
      <c r="AK53" s="9"/>
      <c r="AL53" s="9"/>
      <c r="AM53" s="9"/>
      <c r="AN53" s="9"/>
      <c r="AO53" s="9"/>
    </row>
    <row r="54" spans="1:41">
      <c r="A54" s="9"/>
      <c r="B54" s="9"/>
      <c r="C54" s="9"/>
      <c r="D54" s="9"/>
      <c r="E54" s="9"/>
      <c r="F54" s="9"/>
      <c r="G54" s="9"/>
      <c r="H54" s="9"/>
      <c r="I54" s="9"/>
      <c r="J54" s="9"/>
      <c r="K54" s="9"/>
      <c r="L54" s="9"/>
      <c r="M54" s="9"/>
      <c r="N54" s="9"/>
      <c r="O54" s="9"/>
      <c r="P54" s="9"/>
      <c r="Q54" s="9"/>
      <c r="R54" s="9"/>
      <c r="S54" s="9"/>
      <c r="T54" s="9"/>
      <c r="U54" s="9"/>
      <c r="V54" s="9"/>
      <c r="W54" s="9"/>
      <c r="X54" s="9"/>
      <c r="Y54" s="10"/>
      <c r="Z54" s="9"/>
      <c r="AA54" s="9"/>
      <c r="AB54" s="9"/>
      <c r="AC54" s="9"/>
      <c r="AD54" s="9"/>
      <c r="AE54" s="9"/>
      <c r="AF54" s="9"/>
      <c r="AG54" s="9"/>
      <c r="AH54" s="9"/>
      <c r="AI54" s="9"/>
      <c r="AJ54" s="9"/>
      <c r="AK54" s="9"/>
      <c r="AL54" s="9"/>
      <c r="AM54" s="9"/>
      <c r="AN54" s="9"/>
      <c r="AO54" s="9"/>
    </row>
    <row r="55" spans="1:41">
      <c r="A55" s="9"/>
      <c r="B55" s="9"/>
      <c r="C55" s="9"/>
      <c r="D55" s="9"/>
      <c r="E55" s="9"/>
      <c r="F55" s="9"/>
      <c r="G55" s="9"/>
      <c r="H55" s="9"/>
      <c r="I55" s="9"/>
      <c r="J55" s="9"/>
      <c r="K55" s="9"/>
      <c r="L55" s="9"/>
      <c r="M55" s="9"/>
      <c r="N55" s="9"/>
      <c r="O55" s="9"/>
      <c r="P55" s="9"/>
      <c r="Q55" s="9"/>
      <c r="R55" s="9"/>
      <c r="S55" s="9"/>
      <c r="T55" s="9"/>
      <c r="U55" s="9"/>
      <c r="V55" s="9"/>
      <c r="W55" s="9"/>
      <c r="X55" s="9"/>
      <c r="Y55" s="10"/>
      <c r="Z55" s="9"/>
      <c r="AA55" s="9"/>
      <c r="AB55" s="9"/>
      <c r="AC55" s="9"/>
      <c r="AD55" s="9"/>
      <c r="AE55" s="9"/>
      <c r="AF55" s="9"/>
      <c r="AG55" s="9"/>
      <c r="AH55" s="9"/>
      <c r="AI55" s="9"/>
      <c r="AJ55" s="9"/>
      <c r="AK55" s="9"/>
      <c r="AL55" s="9"/>
      <c r="AM55" s="9"/>
      <c r="AN55" s="9"/>
      <c r="AO55" s="9"/>
    </row>
    <row r="56" spans="1:41">
      <c r="A56" s="9"/>
      <c r="B56" s="9"/>
      <c r="C56" s="9"/>
      <c r="D56" s="9"/>
      <c r="E56" s="9"/>
      <c r="F56" s="9"/>
      <c r="G56" s="9"/>
      <c r="H56" s="9"/>
      <c r="I56" s="9"/>
      <c r="J56" s="9"/>
      <c r="K56" s="9"/>
      <c r="L56" s="9"/>
      <c r="M56" s="9"/>
      <c r="N56" s="9"/>
      <c r="O56" s="9"/>
      <c r="P56" s="9"/>
      <c r="Q56" s="9"/>
      <c r="R56" s="9"/>
      <c r="S56" s="9"/>
      <c r="T56" s="9"/>
      <c r="U56" s="9"/>
      <c r="V56" s="9"/>
      <c r="W56" s="9"/>
      <c r="X56" s="9"/>
      <c r="Y56" s="10"/>
      <c r="Z56" s="9"/>
      <c r="AA56" s="9"/>
      <c r="AB56" s="9"/>
      <c r="AC56" s="9"/>
      <c r="AD56" s="9"/>
      <c r="AE56" s="9"/>
      <c r="AF56" s="9"/>
      <c r="AG56" s="9"/>
      <c r="AH56" s="9"/>
      <c r="AI56" s="9"/>
      <c r="AJ56" s="9"/>
      <c r="AK56" s="9"/>
      <c r="AL56" s="9"/>
      <c r="AM56" s="9"/>
      <c r="AN56" s="9"/>
      <c r="AO56" s="9"/>
    </row>
    <row r="57" spans="1:41">
      <c r="A57" s="9"/>
      <c r="B57" s="9"/>
      <c r="C57" s="9"/>
      <c r="D57" s="9"/>
      <c r="E57" s="9"/>
      <c r="F57" s="9"/>
      <c r="G57" s="9"/>
      <c r="H57" s="9"/>
      <c r="I57" s="9"/>
      <c r="J57" s="9"/>
      <c r="K57" s="9"/>
      <c r="L57" s="9"/>
      <c r="M57" s="9"/>
      <c r="N57" s="9"/>
      <c r="O57" s="9"/>
      <c r="P57" s="9"/>
      <c r="Q57" s="9"/>
      <c r="R57" s="9"/>
      <c r="S57" s="9"/>
      <c r="T57" s="9"/>
      <c r="U57" s="9"/>
      <c r="V57" s="9"/>
      <c r="W57" s="9"/>
      <c r="X57" s="9"/>
      <c r="Y57" s="10"/>
      <c r="Z57" s="9"/>
      <c r="AA57" s="9"/>
      <c r="AB57" s="9"/>
      <c r="AC57" s="9"/>
      <c r="AD57" s="9"/>
      <c r="AE57" s="9"/>
      <c r="AF57" s="9"/>
      <c r="AG57" s="9"/>
      <c r="AH57" s="9"/>
      <c r="AI57" s="9"/>
      <c r="AJ57" s="9"/>
      <c r="AK57" s="9"/>
      <c r="AL57" s="9"/>
      <c r="AM57" s="9"/>
      <c r="AN57" s="9"/>
      <c r="AO57" s="9"/>
    </row>
    <row r="58" spans="1:41">
      <c r="A58" s="9"/>
      <c r="B58" s="9"/>
      <c r="C58" s="9"/>
      <c r="D58" s="9"/>
      <c r="E58" s="9"/>
      <c r="F58" s="9"/>
      <c r="G58" s="9"/>
      <c r="H58" s="9"/>
      <c r="I58" s="9"/>
      <c r="J58" s="9"/>
      <c r="K58" s="9"/>
      <c r="L58" s="9"/>
      <c r="M58" s="9"/>
      <c r="N58" s="9"/>
      <c r="O58" s="9"/>
      <c r="P58" s="9"/>
      <c r="Q58" s="9"/>
      <c r="R58" s="9"/>
      <c r="S58" s="9"/>
      <c r="T58" s="9"/>
      <c r="U58" s="9"/>
      <c r="V58" s="9"/>
      <c r="W58" s="9"/>
      <c r="X58" s="9"/>
      <c r="Y58" s="10"/>
      <c r="Z58" s="9"/>
      <c r="AA58" s="9"/>
      <c r="AB58" s="9"/>
      <c r="AC58" s="9"/>
      <c r="AD58" s="9"/>
      <c r="AE58" s="9"/>
      <c r="AF58" s="9"/>
      <c r="AG58" s="9"/>
      <c r="AH58" s="9"/>
      <c r="AI58" s="9"/>
      <c r="AJ58" s="9"/>
      <c r="AK58" s="9"/>
      <c r="AL58" s="9"/>
      <c r="AM58" s="9"/>
      <c r="AN58" s="9"/>
      <c r="AO58" s="9"/>
    </row>
    <row r="59" spans="1:41">
      <c r="A59" s="9"/>
      <c r="B59" s="9"/>
      <c r="C59" s="9"/>
      <c r="D59" s="9"/>
      <c r="E59" s="9"/>
      <c r="F59" s="9"/>
      <c r="G59" s="9"/>
      <c r="H59" s="9"/>
      <c r="I59" s="9"/>
      <c r="J59" s="9"/>
      <c r="K59" s="9"/>
      <c r="L59" s="9"/>
      <c r="M59" s="9"/>
      <c r="N59" s="9"/>
      <c r="O59" s="9"/>
      <c r="P59" s="9"/>
      <c r="Q59" s="9"/>
      <c r="R59" s="9"/>
      <c r="S59" s="9"/>
      <c r="T59" s="9"/>
      <c r="U59" s="9"/>
      <c r="V59" s="9"/>
      <c r="W59" s="9"/>
      <c r="X59" s="9"/>
      <c r="Y59" s="10"/>
      <c r="Z59" s="9"/>
      <c r="AA59" s="9"/>
      <c r="AB59" s="9"/>
      <c r="AC59" s="9"/>
      <c r="AD59" s="9"/>
      <c r="AE59" s="9"/>
      <c r="AF59" s="9"/>
      <c r="AG59" s="9"/>
      <c r="AH59" s="9"/>
      <c r="AI59" s="9"/>
      <c r="AJ59" s="9"/>
      <c r="AK59" s="9"/>
      <c r="AL59" s="9"/>
      <c r="AM59" s="9"/>
      <c r="AN59" s="9"/>
      <c r="AO59" s="9"/>
    </row>
    <row r="60" spans="1:41">
      <c r="A60" s="9"/>
      <c r="B60" s="9"/>
      <c r="C60" s="9"/>
      <c r="D60" s="9"/>
      <c r="E60" s="9"/>
      <c r="F60" s="9"/>
      <c r="G60" s="9"/>
      <c r="H60" s="9"/>
      <c r="I60" s="9"/>
      <c r="J60" s="9"/>
      <c r="K60" s="9"/>
      <c r="L60" s="9"/>
      <c r="M60" s="9"/>
      <c r="N60" s="9"/>
      <c r="O60" s="9"/>
      <c r="P60" s="9"/>
      <c r="Q60" s="9"/>
      <c r="R60" s="9"/>
      <c r="S60" s="9"/>
      <c r="T60" s="9"/>
      <c r="U60" s="9"/>
      <c r="V60" s="9"/>
      <c r="W60" s="9"/>
      <c r="X60" s="9"/>
      <c r="Y60" s="10"/>
      <c r="Z60" s="9"/>
      <c r="AA60" s="9"/>
      <c r="AB60" s="9"/>
      <c r="AC60" s="9"/>
      <c r="AD60" s="9"/>
      <c r="AE60" s="9"/>
      <c r="AF60" s="9"/>
      <c r="AG60" s="9"/>
      <c r="AH60" s="9"/>
      <c r="AI60" s="9"/>
      <c r="AJ60" s="9"/>
      <c r="AK60" s="9"/>
      <c r="AL60" s="9"/>
      <c r="AM60" s="9"/>
      <c r="AN60" s="9"/>
      <c r="AO60" s="9"/>
    </row>
    <row r="61" spans="1:41">
      <c r="A61" s="9"/>
      <c r="B61" s="9"/>
      <c r="C61" s="9"/>
      <c r="D61" s="9"/>
      <c r="E61" s="9"/>
      <c r="F61" s="9"/>
      <c r="G61" s="9"/>
      <c r="H61" s="9"/>
      <c r="I61" s="9"/>
      <c r="J61" s="9"/>
      <c r="K61" s="9"/>
      <c r="L61" s="9"/>
      <c r="M61" s="9"/>
      <c r="N61" s="9"/>
      <c r="O61" s="9"/>
      <c r="P61" s="9"/>
      <c r="Q61" s="9"/>
      <c r="R61" s="9"/>
      <c r="S61" s="9"/>
      <c r="T61" s="9"/>
      <c r="U61" s="9"/>
      <c r="V61" s="9"/>
      <c r="W61" s="9"/>
      <c r="X61" s="9"/>
      <c r="Y61" s="10"/>
      <c r="Z61" s="9"/>
      <c r="AA61" s="9"/>
      <c r="AB61" s="9"/>
      <c r="AC61" s="9"/>
      <c r="AD61" s="9"/>
      <c r="AE61" s="9"/>
      <c r="AF61" s="9"/>
      <c r="AG61" s="9"/>
      <c r="AH61" s="9"/>
      <c r="AI61" s="9"/>
      <c r="AJ61" s="9"/>
      <c r="AK61" s="9"/>
      <c r="AL61" s="9"/>
      <c r="AM61" s="9"/>
      <c r="AN61" s="9"/>
      <c r="AO61" s="9"/>
    </row>
    <row r="62" spans="1:41">
      <c r="A62" s="9"/>
      <c r="B62" s="9"/>
      <c r="C62" s="9"/>
      <c r="D62" s="9"/>
      <c r="E62" s="9"/>
      <c r="F62" s="9"/>
      <c r="G62" s="9"/>
      <c r="H62" s="9"/>
      <c r="I62" s="9"/>
      <c r="J62" s="9"/>
      <c r="K62" s="9"/>
      <c r="L62" s="9"/>
      <c r="M62" s="9"/>
      <c r="N62" s="9"/>
      <c r="O62" s="9"/>
      <c r="P62" s="9"/>
      <c r="Q62" s="9"/>
      <c r="R62" s="9"/>
      <c r="S62" s="9"/>
      <c r="T62" s="9"/>
      <c r="U62" s="9"/>
      <c r="V62" s="9"/>
      <c r="W62" s="9"/>
      <c r="X62" s="9"/>
      <c r="Y62" s="10"/>
      <c r="Z62" s="9"/>
      <c r="AA62" s="9"/>
      <c r="AB62" s="9"/>
      <c r="AC62" s="9"/>
      <c r="AD62" s="9"/>
      <c r="AE62" s="9"/>
      <c r="AF62" s="9"/>
      <c r="AG62" s="9"/>
      <c r="AH62" s="9"/>
      <c r="AI62" s="9"/>
      <c r="AJ62" s="9"/>
      <c r="AK62" s="9"/>
      <c r="AL62" s="9"/>
      <c r="AM62" s="9"/>
      <c r="AN62" s="9"/>
      <c r="AO62" s="9"/>
    </row>
    <row r="63" spans="1:41">
      <c r="A63" s="9"/>
      <c r="B63" s="9"/>
      <c r="C63" s="9"/>
      <c r="D63" s="9"/>
      <c r="E63" s="9"/>
      <c r="F63" s="9"/>
      <c r="G63" s="9"/>
      <c r="H63" s="9"/>
      <c r="I63" s="9"/>
      <c r="J63" s="9"/>
      <c r="K63" s="9"/>
      <c r="L63" s="9"/>
      <c r="M63" s="9"/>
      <c r="N63" s="9"/>
      <c r="O63" s="9"/>
      <c r="P63" s="9"/>
      <c r="Q63" s="9"/>
      <c r="R63" s="9"/>
      <c r="S63" s="9"/>
      <c r="T63" s="9"/>
      <c r="U63" s="9"/>
      <c r="V63" s="9"/>
      <c r="W63" s="9"/>
      <c r="X63" s="9"/>
      <c r="Y63" s="10"/>
      <c r="Z63" s="9"/>
      <c r="AA63" s="9"/>
      <c r="AB63" s="9"/>
      <c r="AC63" s="9"/>
      <c r="AD63" s="9"/>
      <c r="AE63" s="9"/>
      <c r="AF63" s="9"/>
      <c r="AG63" s="9"/>
      <c r="AH63" s="9"/>
      <c r="AI63" s="9"/>
      <c r="AJ63" s="9"/>
      <c r="AK63" s="9"/>
      <c r="AL63" s="9"/>
      <c r="AM63" s="9"/>
      <c r="AN63" s="9"/>
      <c r="AO63" s="9"/>
    </row>
    <row r="64" spans="1:41">
      <c r="A64" s="9"/>
      <c r="B64" s="9"/>
      <c r="C64" s="9"/>
      <c r="D64" s="9"/>
      <c r="E64" s="9"/>
      <c r="F64" s="9"/>
      <c r="G64" s="9"/>
      <c r="H64" s="9"/>
      <c r="I64" s="9"/>
      <c r="J64" s="9"/>
      <c r="K64" s="9"/>
      <c r="L64" s="9"/>
      <c r="M64" s="9"/>
      <c r="N64" s="9"/>
      <c r="O64" s="9"/>
      <c r="P64" s="9"/>
      <c r="Q64" s="9"/>
      <c r="R64" s="9"/>
      <c r="S64" s="9"/>
      <c r="T64" s="9"/>
      <c r="U64" s="9"/>
      <c r="V64" s="9"/>
      <c r="W64" s="9"/>
      <c r="X64" s="9"/>
      <c r="Y64" s="10"/>
      <c r="Z64" s="9"/>
      <c r="AA64" s="9"/>
      <c r="AB64" s="9"/>
      <c r="AC64" s="9"/>
      <c r="AD64" s="9"/>
      <c r="AE64" s="9"/>
      <c r="AF64" s="9"/>
      <c r="AG64" s="9"/>
      <c r="AH64" s="9"/>
      <c r="AI64" s="9"/>
      <c r="AJ64" s="9"/>
      <c r="AK64" s="9"/>
      <c r="AL64" s="9"/>
      <c r="AM64" s="9"/>
      <c r="AN64" s="9"/>
      <c r="AO64" s="9"/>
    </row>
    <row r="65" spans="1:41">
      <c r="A65" s="9"/>
      <c r="B65" s="9"/>
      <c r="C65" s="9"/>
      <c r="D65" s="9"/>
      <c r="E65" s="9"/>
      <c r="F65" s="9"/>
      <c r="G65" s="9"/>
      <c r="H65" s="9"/>
      <c r="I65" s="9"/>
      <c r="J65" s="9"/>
      <c r="K65" s="9"/>
      <c r="L65" s="9"/>
      <c r="M65" s="9"/>
      <c r="N65" s="9"/>
      <c r="O65" s="9"/>
      <c r="P65" s="9"/>
      <c r="Q65" s="9"/>
      <c r="R65" s="9"/>
      <c r="S65" s="9"/>
      <c r="T65" s="9"/>
      <c r="U65" s="9"/>
      <c r="V65" s="9"/>
      <c r="W65" s="9"/>
      <c r="X65" s="9"/>
      <c r="Y65" s="10"/>
      <c r="Z65" s="9"/>
      <c r="AA65" s="9"/>
      <c r="AB65" s="9"/>
      <c r="AC65" s="9"/>
      <c r="AD65" s="9"/>
      <c r="AE65" s="9"/>
      <c r="AF65" s="9"/>
      <c r="AG65" s="9"/>
      <c r="AH65" s="9"/>
      <c r="AI65" s="9"/>
      <c r="AJ65" s="9"/>
      <c r="AK65" s="9"/>
      <c r="AL65" s="9"/>
      <c r="AM65" s="9"/>
      <c r="AN65" s="9"/>
      <c r="AO65" s="9"/>
    </row>
    <row r="66" spans="1:41">
      <c r="A66" s="9"/>
      <c r="B66" s="9"/>
      <c r="C66" s="9"/>
      <c r="D66" s="9"/>
      <c r="E66" s="9"/>
      <c r="F66" s="9"/>
      <c r="G66" s="9"/>
      <c r="H66" s="9"/>
      <c r="I66" s="9"/>
      <c r="J66" s="9"/>
      <c r="K66" s="9"/>
      <c r="L66" s="9"/>
      <c r="M66" s="9"/>
      <c r="N66" s="9"/>
      <c r="O66" s="9"/>
      <c r="P66" s="9"/>
      <c r="Q66" s="9"/>
      <c r="R66" s="9"/>
      <c r="S66" s="9"/>
      <c r="T66" s="9"/>
      <c r="U66" s="9"/>
      <c r="V66" s="9"/>
      <c r="W66" s="9"/>
      <c r="X66" s="9"/>
      <c r="Y66" s="10"/>
      <c r="Z66" s="9"/>
      <c r="AA66" s="9"/>
      <c r="AB66" s="9"/>
      <c r="AC66" s="9"/>
      <c r="AD66" s="9"/>
      <c r="AE66" s="9"/>
      <c r="AF66" s="9"/>
      <c r="AG66" s="9"/>
      <c r="AH66" s="9"/>
      <c r="AI66" s="9"/>
      <c r="AJ66" s="9"/>
      <c r="AK66" s="9"/>
      <c r="AL66" s="9"/>
      <c r="AM66" s="9"/>
      <c r="AN66" s="9"/>
      <c r="AO66" s="9"/>
    </row>
    <row r="67" spans="1:41">
      <c r="A67" s="9"/>
      <c r="B67" s="9"/>
      <c r="C67" s="9"/>
      <c r="D67" s="9"/>
      <c r="E67" s="9"/>
      <c r="F67" s="9"/>
      <c r="G67" s="9"/>
      <c r="H67" s="9"/>
      <c r="I67" s="9"/>
      <c r="J67" s="9"/>
      <c r="K67" s="9"/>
      <c r="L67" s="9"/>
      <c r="M67" s="9"/>
      <c r="N67" s="9"/>
      <c r="O67" s="9"/>
      <c r="P67" s="9"/>
      <c r="Q67" s="9"/>
      <c r="R67" s="9"/>
      <c r="S67" s="9"/>
      <c r="T67" s="9"/>
      <c r="U67" s="9"/>
      <c r="V67" s="9"/>
      <c r="W67" s="9"/>
      <c r="X67" s="9"/>
      <c r="Y67" s="10"/>
      <c r="Z67" s="9"/>
      <c r="AA67" s="9"/>
      <c r="AB67" s="9"/>
      <c r="AC67" s="9"/>
      <c r="AD67" s="9"/>
      <c r="AE67" s="9"/>
      <c r="AF67" s="9"/>
      <c r="AG67" s="9"/>
      <c r="AH67" s="9"/>
      <c r="AI67" s="9"/>
      <c r="AJ67" s="9"/>
      <c r="AK67" s="9"/>
      <c r="AL67" s="9"/>
      <c r="AM67" s="9"/>
      <c r="AN67" s="9"/>
      <c r="AO67" s="9"/>
    </row>
    <row r="68" spans="1:41">
      <c r="A68" s="9"/>
      <c r="B68" s="9"/>
      <c r="C68" s="9"/>
      <c r="D68" s="9"/>
      <c r="E68" s="9"/>
      <c r="F68" s="9"/>
      <c r="G68" s="9"/>
      <c r="H68" s="9"/>
      <c r="I68" s="9"/>
      <c r="J68" s="9"/>
      <c r="K68" s="9"/>
      <c r="L68" s="9"/>
      <c r="M68" s="9"/>
      <c r="N68" s="9"/>
      <c r="O68" s="9"/>
      <c r="P68" s="9"/>
      <c r="Q68" s="9"/>
      <c r="R68" s="9"/>
      <c r="S68" s="9"/>
      <c r="T68" s="9"/>
      <c r="U68" s="9"/>
      <c r="V68" s="9"/>
      <c r="W68" s="9"/>
      <c r="X68" s="9"/>
      <c r="Y68" s="10"/>
      <c r="Z68" s="9"/>
      <c r="AA68" s="9"/>
      <c r="AB68" s="9"/>
      <c r="AC68" s="9"/>
      <c r="AD68" s="9"/>
      <c r="AE68" s="9"/>
      <c r="AF68" s="9"/>
      <c r="AG68" s="9"/>
      <c r="AH68" s="9"/>
      <c r="AI68" s="9"/>
      <c r="AJ68" s="9"/>
      <c r="AK68" s="9"/>
      <c r="AL68" s="9"/>
      <c r="AM68" s="9"/>
      <c r="AN68" s="9"/>
      <c r="AO68" s="9"/>
    </row>
    <row r="69" spans="1:41">
      <c r="A69" s="9"/>
      <c r="B69" s="9"/>
      <c r="C69" s="9"/>
      <c r="D69" s="9"/>
      <c r="E69" s="9"/>
      <c r="F69" s="9"/>
      <c r="G69" s="9"/>
      <c r="H69" s="9"/>
      <c r="I69" s="9"/>
      <c r="J69" s="9"/>
      <c r="K69" s="9"/>
      <c r="L69" s="9"/>
      <c r="M69" s="9"/>
      <c r="N69" s="9"/>
      <c r="O69" s="9"/>
      <c r="P69" s="9"/>
      <c r="Q69" s="9"/>
      <c r="R69" s="9"/>
      <c r="S69" s="9"/>
      <c r="T69" s="9"/>
      <c r="U69" s="9"/>
      <c r="V69" s="9"/>
      <c r="W69" s="9"/>
      <c r="X69" s="9"/>
      <c r="Y69" s="10"/>
      <c r="Z69" s="9"/>
      <c r="AA69" s="9"/>
      <c r="AB69" s="9"/>
      <c r="AC69" s="9"/>
      <c r="AD69" s="9"/>
      <c r="AE69" s="9"/>
      <c r="AF69" s="9"/>
      <c r="AG69" s="9"/>
      <c r="AH69" s="9"/>
      <c r="AI69" s="9"/>
      <c r="AJ69" s="9"/>
      <c r="AK69" s="9"/>
      <c r="AL69" s="9"/>
      <c r="AM69" s="9"/>
      <c r="AN69" s="9"/>
      <c r="AO69" s="9"/>
    </row>
    <row r="70" spans="1:41">
      <c r="A70" s="9"/>
      <c r="B70" s="9"/>
      <c r="C70" s="9"/>
      <c r="D70" s="9"/>
      <c r="E70" s="9"/>
      <c r="F70" s="9"/>
      <c r="G70" s="9"/>
      <c r="H70" s="9"/>
      <c r="I70" s="9"/>
      <c r="J70" s="9"/>
      <c r="K70" s="9"/>
      <c r="L70" s="9"/>
      <c r="M70" s="9"/>
      <c r="N70" s="9"/>
      <c r="O70" s="9"/>
      <c r="P70" s="9"/>
      <c r="Q70" s="9"/>
      <c r="R70" s="9"/>
      <c r="S70" s="9"/>
      <c r="T70" s="9"/>
      <c r="U70" s="9"/>
      <c r="V70" s="9"/>
      <c r="W70" s="9"/>
      <c r="X70" s="9"/>
      <c r="Y70" s="10"/>
      <c r="Z70" s="9"/>
      <c r="AA70" s="9"/>
      <c r="AB70" s="9"/>
      <c r="AC70" s="9"/>
      <c r="AD70" s="9"/>
      <c r="AE70" s="9"/>
      <c r="AF70" s="9"/>
      <c r="AG70" s="9"/>
      <c r="AH70" s="9"/>
      <c r="AI70" s="9"/>
      <c r="AJ70" s="9"/>
      <c r="AK70" s="9"/>
      <c r="AL70" s="9"/>
      <c r="AM70" s="9"/>
      <c r="AN70" s="9"/>
      <c r="AO70" s="9"/>
    </row>
    <row r="71" spans="1:41">
      <c r="A71" s="9"/>
      <c r="B71" s="9"/>
      <c r="C71" s="9"/>
      <c r="D71" s="9"/>
      <c r="E71" s="9"/>
      <c r="F71" s="9"/>
      <c r="G71" s="9"/>
      <c r="H71" s="9"/>
      <c r="I71" s="9"/>
      <c r="J71" s="9"/>
      <c r="K71" s="9"/>
      <c r="L71" s="9"/>
      <c r="M71" s="9"/>
      <c r="N71" s="9"/>
      <c r="O71" s="9"/>
      <c r="P71" s="9"/>
      <c r="Q71" s="9"/>
      <c r="R71" s="9"/>
      <c r="S71" s="9"/>
      <c r="T71" s="9"/>
      <c r="U71" s="9"/>
      <c r="V71" s="9"/>
      <c r="W71" s="9"/>
      <c r="X71" s="9"/>
      <c r="Y71" s="10"/>
      <c r="Z71" s="9"/>
      <c r="AA71" s="9"/>
      <c r="AB71" s="9"/>
      <c r="AC71" s="9"/>
      <c r="AD71" s="9"/>
      <c r="AE71" s="9"/>
      <c r="AF71" s="9"/>
      <c r="AG71" s="9"/>
      <c r="AH71" s="9"/>
      <c r="AI71" s="9"/>
      <c r="AJ71" s="9"/>
      <c r="AK71" s="9"/>
      <c r="AL71" s="9"/>
      <c r="AM71" s="9"/>
      <c r="AN71" s="9"/>
      <c r="AO71" s="9"/>
    </row>
    <row r="72" spans="1:41">
      <c r="A72" s="9"/>
      <c r="B72" s="9"/>
      <c r="C72" s="9"/>
      <c r="D72" s="9"/>
      <c r="E72" s="9"/>
      <c r="F72" s="9"/>
      <c r="G72" s="9"/>
      <c r="H72" s="9"/>
      <c r="I72" s="9"/>
      <c r="J72" s="9"/>
      <c r="K72" s="9"/>
      <c r="L72" s="9"/>
      <c r="M72" s="9"/>
      <c r="N72" s="9"/>
      <c r="O72" s="9"/>
      <c r="P72" s="9"/>
      <c r="Q72" s="9"/>
      <c r="R72" s="9"/>
      <c r="S72" s="9"/>
      <c r="T72" s="9"/>
      <c r="U72" s="9"/>
      <c r="V72" s="9"/>
      <c r="W72" s="9"/>
      <c r="X72" s="9"/>
      <c r="Y72" s="10"/>
      <c r="Z72" s="9"/>
      <c r="AA72" s="9"/>
      <c r="AB72" s="9"/>
      <c r="AC72" s="9"/>
      <c r="AD72" s="9"/>
      <c r="AE72" s="9"/>
      <c r="AF72" s="9"/>
      <c r="AG72" s="9"/>
      <c r="AH72" s="9"/>
      <c r="AI72" s="9"/>
      <c r="AJ72" s="9"/>
      <c r="AK72" s="9"/>
      <c r="AL72" s="9"/>
      <c r="AM72" s="9"/>
      <c r="AN72" s="9"/>
      <c r="AO72" s="9"/>
    </row>
    <row r="73" spans="1:41">
      <c r="A73" s="9"/>
      <c r="B73" s="9"/>
      <c r="C73" s="9"/>
      <c r="D73" s="9"/>
      <c r="E73" s="9"/>
      <c r="F73" s="9"/>
      <c r="G73" s="9"/>
      <c r="H73" s="9"/>
      <c r="I73" s="9"/>
      <c r="J73" s="9"/>
      <c r="K73" s="9"/>
      <c r="L73" s="9"/>
      <c r="M73" s="9"/>
      <c r="N73" s="9"/>
      <c r="O73" s="9"/>
      <c r="P73" s="9"/>
      <c r="Q73" s="9"/>
      <c r="R73" s="9"/>
      <c r="S73" s="9"/>
      <c r="T73" s="9"/>
      <c r="U73" s="9"/>
      <c r="V73" s="9"/>
      <c r="W73" s="9"/>
      <c r="X73" s="9"/>
      <c r="Y73" s="10"/>
      <c r="Z73" s="9"/>
      <c r="AA73" s="9"/>
      <c r="AB73" s="9"/>
      <c r="AC73" s="9"/>
      <c r="AD73" s="9"/>
      <c r="AE73" s="9"/>
      <c r="AF73" s="9"/>
      <c r="AG73" s="9"/>
      <c r="AH73" s="9"/>
      <c r="AI73" s="9"/>
      <c r="AJ73" s="9"/>
      <c r="AK73" s="9"/>
      <c r="AL73" s="9"/>
      <c r="AM73" s="9"/>
      <c r="AN73" s="9"/>
      <c r="AO73" s="9"/>
    </row>
    <row r="74" spans="1:41">
      <c r="A74" s="9"/>
      <c r="B74" s="9"/>
      <c r="C74" s="9"/>
      <c r="D74" s="9"/>
      <c r="E74" s="9"/>
      <c r="F74" s="9"/>
      <c r="G74" s="9"/>
      <c r="H74" s="9"/>
      <c r="I74" s="9"/>
      <c r="J74" s="9"/>
      <c r="K74" s="9"/>
      <c r="L74" s="9"/>
      <c r="M74" s="9"/>
      <c r="N74" s="9"/>
      <c r="O74" s="9"/>
      <c r="P74" s="9"/>
      <c r="Q74" s="9"/>
      <c r="R74" s="9"/>
      <c r="S74" s="9"/>
      <c r="T74" s="9"/>
      <c r="U74" s="9"/>
      <c r="V74" s="9"/>
      <c r="W74" s="9"/>
      <c r="X74" s="9"/>
      <c r="Y74" s="10"/>
      <c r="Z74" s="9"/>
      <c r="AA74" s="9"/>
      <c r="AB74" s="9"/>
      <c r="AC74" s="9"/>
      <c r="AD74" s="9"/>
      <c r="AE74" s="9"/>
      <c r="AF74" s="9"/>
      <c r="AG74" s="9"/>
      <c r="AH74" s="9"/>
      <c r="AI74" s="9"/>
      <c r="AJ74" s="9"/>
      <c r="AK74" s="9"/>
      <c r="AL74" s="9"/>
      <c r="AM74" s="9"/>
      <c r="AN74" s="9"/>
      <c r="AO74" s="9"/>
    </row>
    <row r="75" spans="1:41">
      <c r="A75" s="9"/>
      <c r="B75" s="9"/>
      <c r="C75" s="9"/>
      <c r="D75" s="9"/>
      <c r="E75" s="9"/>
      <c r="F75" s="9"/>
      <c r="G75" s="9"/>
      <c r="H75" s="9"/>
      <c r="I75" s="9"/>
      <c r="J75" s="9"/>
      <c r="K75" s="9"/>
      <c r="L75" s="9"/>
      <c r="M75" s="9"/>
      <c r="N75" s="9"/>
      <c r="O75" s="9"/>
      <c r="P75" s="9"/>
      <c r="Q75" s="9"/>
      <c r="R75" s="9"/>
      <c r="S75" s="9"/>
      <c r="T75" s="9"/>
      <c r="U75" s="9"/>
      <c r="V75" s="9"/>
      <c r="W75" s="9"/>
      <c r="X75" s="9"/>
      <c r="Y75" s="10"/>
      <c r="Z75" s="9"/>
      <c r="AA75" s="9"/>
      <c r="AB75" s="9"/>
      <c r="AC75" s="9"/>
      <c r="AD75" s="9"/>
      <c r="AE75" s="9"/>
      <c r="AF75" s="9"/>
      <c r="AG75" s="9"/>
      <c r="AH75" s="9"/>
      <c r="AI75" s="9"/>
      <c r="AJ75" s="9"/>
      <c r="AK75" s="9"/>
      <c r="AL75" s="9"/>
      <c r="AM75" s="9"/>
      <c r="AN75" s="9"/>
      <c r="AO75" s="9"/>
    </row>
    <row r="76" spans="1:41">
      <c r="A76" s="9"/>
      <c r="B76" s="9"/>
      <c r="C76" s="9"/>
      <c r="D76" s="9"/>
      <c r="E76" s="9"/>
      <c r="F76" s="9"/>
      <c r="G76" s="9"/>
      <c r="H76" s="9"/>
      <c r="I76" s="9"/>
      <c r="J76" s="9"/>
      <c r="K76" s="9"/>
      <c r="L76" s="9"/>
      <c r="M76" s="9"/>
      <c r="N76" s="9"/>
      <c r="O76" s="9"/>
      <c r="P76" s="9"/>
      <c r="Q76" s="9"/>
      <c r="R76" s="9"/>
      <c r="S76" s="9"/>
      <c r="T76" s="9"/>
      <c r="U76" s="9"/>
      <c r="V76" s="9"/>
      <c r="W76" s="9"/>
      <c r="X76" s="9"/>
      <c r="Y76" s="10"/>
      <c r="Z76" s="9"/>
      <c r="AA76" s="9"/>
      <c r="AB76" s="9"/>
      <c r="AC76" s="9"/>
      <c r="AD76" s="9"/>
      <c r="AE76" s="9"/>
      <c r="AF76" s="9"/>
      <c r="AG76" s="9"/>
      <c r="AH76" s="9"/>
      <c r="AI76" s="9"/>
      <c r="AJ76" s="9"/>
      <c r="AK76" s="9"/>
      <c r="AL76" s="9"/>
      <c r="AM76" s="9"/>
      <c r="AN76" s="9"/>
      <c r="AO76" s="9"/>
    </row>
    <row r="77" spans="1:41">
      <c r="A77" s="9"/>
      <c r="B77" s="9"/>
      <c r="C77" s="9"/>
      <c r="D77" s="9"/>
      <c r="E77" s="9"/>
      <c r="F77" s="9"/>
      <c r="G77" s="9"/>
      <c r="H77" s="9"/>
      <c r="I77" s="9"/>
      <c r="J77" s="9"/>
      <c r="K77" s="9"/>
      <c r="L77" s="9"/>
      <c r="M77" s="9"/>
      <c r="N77" s="9"/>
      <c r="O77" s="9"/>
      <c r="P77" s="9"/>
      <c r="Q77" s="9"/>
      <c r="R77" s="9"/>
      <c r="S77" s="9"/>
      <c r="T77" s="9"/>
      <c r="U77" s="9"/>
      <c r="V77" s="9"/>
      <c r="W77" s="9"/>
      <c r="X77" s="9"/>
      <c r="Y77" s="10"/>
      <c r="Z77" s="9"/>
      <c r="AA77" s="9"/>
      <c r="AB77" s="9"/>
      <c r="AC77" s="9"/>
      <c r="AD77" s="9"/>
      <c r="AE77" s="9"/>
      <c r="AF77" s="9"/>
      <c r="AG77" s="9"/>
      <c r="AH77" s="9"/>
      <c r="AI77" s="9"/>
      <c r="AJ77" s="9"/>
      <c r="AK77" s="9"/>
      <c r="AL77" s="9"/>
      <c r="AM77" s="9"/>
      <c r="AN77" s="9"/>
      <c r="AO77" s="9"/>
    </row>
    <row r="78" spans="1:41">
      <c r="A78" s="9"/>
      <c r="B78" s="9"/>
      <c r="C78" s="9"/>
      <c r="D78" s="9"/>
      <c r="E78" s="9"/>
      <c r="F78" s="9"/>
      <c r="G78" s="9"/>
      <c r="H78" s="9"/>
      <c r="I78" s="9"/>
      <c r="J78" s="9"/>
      <c r="K78" s="9"/>
      <c r="L78" s="9"/>
      <c r="M78" s="9"/>
      <c r="N78" s="9"/>
      <c r="O78" s="9"/>
      <c r="P78" s="9"/>
      <c r="Q78" s="9"/>
      <c r="R78" s="9"/>
      <c r="S78" s="9"/>
      <c r="T78" s="9"/>
      <c r="U78" s="9"/>
      <c r="V78" s="9"/>
      <c r="W78" s="9"/>
      <c r="X78" s="9"/>
      <c r="Y78" s="10"/>
      <c r="Z78" s="9"/>
      <c r="AA78" s="9"/>
      <c r="AB78" s="9"/>
      <c r="AC78" s="9"/>
      <c r="AD78" s="9"/>
      <c r="AE78" s="9"/>
      <c r="AF78" s="9"/>
      <c r="AG78" s="9"/>
      <c r="AH78" s="9"/>
      <c r="AI78" s="9"/>
      <c r="AJ78" s="9"/>
      <c r="AK78" s="9"/>
      <c r="AL78" s="9"/>
      <c r="AM78" s="9"/>
      <c r="AN78" s="9"/>
      <c r="AO78" s="9"/>
    </row>
    <row r="79" spans="1:41">
      <c r="A79" s="9"/>
      <c r="B79" s="9"/>
      <c r="C79" s="9"/>
      <c r="D79" s="9"/>
      <c r="E79" s="9"/>
      <c r="F79" s="9"/>
      <c r="G79" s="9"/>
      <c r="H79" s="9"/>
      <c r="I79" s="9"/>
      <c r="J79" s="9"/>
      <c r="K79" s="9"/>
      <c r="L79" s="9"/>
      <c r="M79" s="9"/>
      <c r="N79" s="9"/>
      <c r="O79" s="9"/>
      <c r="P79" s="9"/>
      <c r="Q79" s="9"/>
      <c r="R79" s="9"/>
      <c r="S79" s="9"/>
      <c r="T79" s="9"/>
      <c r="U79" s="9"/>
      <c r="V79" s="9"/>
      <c r="W79" s="9"/>
      <c r="X79" s="9"/>
      <c r="Y79" s="10"/>
      <c r="Z79" s="9"/>
      <c r="AA79" s="9"/>
      <c r="AB79" s="9"/>
      <c r="AC79" s="9"/>
      <c r="AD79" s="9"/>
      <c r="AE79" s="9"/>
      <c r="AF79" s="9"/>
      <c r="AG79" s="9"/>
      <c r="AH79" s="9"/>
      <c r="AI79" s="9"/>
      <c r="AJ79" s="9"/>
      <c r="AK79" s="9"/>
      <c r="AL79" s="9"/>
      <c r="AM79" s="9"/>
      <c r="AN79" s="9"/>
      <c r="AO79" s="9"/>
    </row>
    <row r="80" spans="1:41">
      <c r="A80" s="9"/>
      <c r="B80" s="9"/>
      <c r="C80" s="9"/>
      <c r="D80" s="9"/>
      <c r="E80" s="9"/>
      <c r="F80" s="9"/>
      <c r="G80" s="9"/>
      <c r="H80" s="9"/>
      <c r="I80" s="9"/>
      <c r="J80" s="9"/>
      <c r="K80" s="9"/>
      <c r="L80" s="9"/>
      <c r="M80" s="9"/>
      <c r="N80" s="9"/>
      <c r="O80" s="9"/>
      <c r="P80" s="9"/>
      <c r="Q80" s="9"/>
      <c r="R80" s="9"/>
      <c r="S80" s="9"/>
      <c r="T80" s="9"/>
      <c r="U80" s="9"/>
      <c r="V80" s="9"/>
      <c r="W80" s="9"/>
      <c r="X80" s="9"/>
      <c r="Y80" s="10"/>
      <c r="Z80" s="9"/>
      <c r="AA80" s="9"/>
      <c r="AB80" s="9"/>
      <c r="AC80" s="9"/>
      <c r="AD80" s="9"/>
      <c r="AE80" s="9"/>
      <c r="AF80" s="9"/>
      <c r="AG80" s="9"/>
      <c r="AH80" s="9"/>
      <c r="AI80" s="9"/>
      <c r="AJ80" s="9"/>
      <c r="AK80" s="9"/>
      <c r="AL80" s="9"/>
      <c r="AM80" s="9"/>
      <c r="AN80" s="9"/>
      <c r="AO80" s="9"/>
    </row>
    <row r="81" spans="1:41">
      <c r="A81" s="9"/>
      <c r="B81" s="9"/>
      <c r="C81" s="9"/>
      <c r="D81" s="9"/>
      <c r="E81" s="9"/>
      <c r="F81" s="9"/>
      <c r="G81" s="9"/>
      <c r="H81" s="9"/>
      <c r="I81" s="9"/>
      <c r="J81" s="9"/>
      <c r="K81" s="9"/>
      <c r="L81" s="9"/>
      <c r="M81" s="9"/>
      <c r="N81" s="9"/>
      <c r="O81" s="9"/>
      <c r="P81" s="9"/>
      <c r="Q81" s="9"/>
      <c r="R81" s="9"/>
      <c r="S81" s="9"/>
      <c r="T81" s="9"/>
      <c r="U81" s="9"/>
      <c r="V81" s="9"/>
      <c r="W81" s="9"/>
      <c r="X81" s="9"/>
      <c r="Y81" s="10"/>
      <c r="Z81" s="9"/>
      <c r="AA81" s="9"/>
      <c r="AB81" s="9"/>
      <c r="AC81" s="9"/>
      <c r="AD81" s="9"/>
      <c r="AE81" s="9"/>
      <c r="AF81" s="9"/>
      <c r="AG81" s="9"/>
      <c r="AH81" s="9"/>
      <c r="AI81" s="9"/>
      <c r="AJ81" s="9"/>
      <c r="AK81" s="9"/>
      <c r="AL81" s="9"/>
      <c r="AM81" s="9"/>
      <c r="AN81" s="9"/>
      <c r="AO81" s="9"/>
    </row>
    <row r="82" spans="1:41">
      <c r="A82" s="9"/>
      <c r="B82" s="9"/>
      <c r="C82" s="9"/>
      <c r="D82" s="9"/>
      <c r="E82" s="9"/>
      <c r="F82" s="9"/>
      <c r="G82" s="9"/>
      <c r="H82" s="9"/>
      <c r="I82" s="9"/>
      <c r="J82" s="9"/>
      <c r="K82" s="9"/>
      <c r="L82" s="9"/>
      <c r="M82" s="9"/>
      <c r="N82" s="9"/>
      <c r="O82" s="9"/>
      <c r="P82" s="9"/>
      <c r="Q82" s="9"/>
      <c r="R82" s="9"/>
      <c r="S82" s="9"/>
      <c r="T82" s="9"/>
      <c r="U82" s="9"/>
      <c r="V82" s="9"/>
      <c r="W82" s="9"/>
      <c r="X82" s="9"/>
      <c r="Y82" s="10"/>
      <c r="Z82" s="9"/>
      <c r="AA82" s="9"/>
      <c r="AB82" s="9"/>
      <c r="AC82" s="9"/>
      <c r="AD82" s="9"/>
      <c r="AE82" s="9"/>
      <c r="AF82" s="9"/>
      <c r="AG82" s="9"/>
      <c r="AH82" s="9"/>
      <c r="AI82" s="9"/>
      <c r="AJ82" s="9"/>
      <c r="AK82" s="9"/>
      <c r="AL82" s="9"/>
      <c r="AM82" s="9"/>
      <c r="AN82" s="9"/>
      <c r="AO82" s="9"/>
    </row>
    <row r="83" spans="1:41">
      <c r="A83" s="9"/>
      <c r="B83" s="9"/>
      <c r="C83" s="9"/>
      <c r="D83" s="9"/>
      <c r="E83" s="9"/>
      <c r="F83" s="9"/>
      <c r="G83" s="9"/>
      <c r="H83" s="9"/>
      <c r="I83" s="9"/>
      <c r="J83" s="9"/>
      <c r="K83" s="9"/>
      <c r="L83" s="9"/>
      <c r="M83" s="9"/>
      <c r="N83" s="9"/>
      <c r="O83" s="9"/>
      <c r="P83" s="9"/>
      <c r="Q83" s="9"/>
      <c r="R83" s="9"/>
      <c r="S83" s="9"/>
      <c r="T83" s="9"/>
      <c r="U83" s="9"/>
      <c r="V83" s="9"/>
      <c r="W83" s="9"/>
      <c r="X83" s="9"/>
      <c r="Y83" s="10"/>
      <c r="Z83" s="9"/>
      <c r="AA83" s="9"/>
      <c r="AB83" s="9"/>
      <c r="AC83" s="9"/>
      <c r="AD83" s="9"/>
      <c r="AE83" s="9"/>
      <c r="AF83" s="9"/>
      <c r="AG83" s="9"/>
      <c r="AH83" s="9"/>
      <c r="AI83" s="9"/>
      <c r="AJ83" s="9"/>
      <c r="AK83" s="9"/>
      <c r="AL83" s="9"/>
      <c r="AM83" s="9"/>
      <c r="AN83" s="9"/>
      <c r="AO83" s="9"/>
    </row>
    <row r="84" spans="1:41">
      <c r="A84" s="9"/>
      <c r="B84" s="9"/>
      <c r="C84" s="9"/>
      <c r="D84" s="9"/>
      <c r="E84" s="9"/>
      <c r="F84" s="9"/>
      <c r="G84" s="9"/>
      <c r="H84" s="9"/>
      <c r="I84" s="9"/>
      <c r="J84" s="9"/>
      <c r="K84" s="9"/>
      <c r="L84" s="9"/>
      <c r="M84" s="9"/>
      <c r="N84" s="9"/>
      <c r="O84" s="9"/>
      <c r="P84" s="9"/>
      <c r="Q84" s="9"/>
      <c r="R84" s="9"/>
      <c r="S84" s="9"/>
      <c r="T84" s="9"/>
      <c r="U84" s="9"/>
      <c r="V84" s="9"/>
      <c r="W84" s="9"/>
      <c r="X84" s="9"/>
      <c r="Y84" s="10"/>
      <c r="Z84" s="9"/>
      <c r="AA84" s="9"/>
      <c r="AB84" s="9"/>
      <c r="AC84" s="9"/>
      <c r="AD84" s="9"/>
      <c r="AE84" s="9"/>
      <c r="AF84" s="9"/>
      <c r="AG84" s="9"/>
      <c r="AH84" s="9"/>
      <c r="AI84" s="9"/>
      <c r="AJ84" s="9"/>
      <c r="AK84" s="9"/>
      <c r="AL84" s="9"/>
      <c r="AM84" s="9"/>
      <c r="AN84" s="9"/>
      <c r="AO84" s="9"/>
    </row>
    <row r="85" spans="1:41">
      <c r="A85" s="9"/>
      <c r="B85" s="9"/>
      <c r="C85" s="9"/>
      <c r="D85" s="9"/>
      <c r="E85" s="9"/>
      <c r="F85" s="9"/>
      <c r="G85" s="9"/>
      <c r="H85" s="9"/>
      <c r="I85" s="9"/>
      <c r="J85" s="9"/>
      <c r="K85" s="9"/>
      <c r="L85" s="9"/>
      <c r="M85" s="9"/>
      <c r="N85" s="9"/>
      <c r="O85" s="9"/>
      <c r="P85" s="9"/>
      <c r="Q85" s="9"/>
      <c r="R85" s="9"/>
      <c r="S85" s="9"/>
      <c r="T85" s="9"/>
      <c r="U85" s="9"/>
      <c r="V85" s="9"/>
      <c r="W85" s="9"/>
      <c r="X85" s="9"/>
      <c r="Y85" s="10"/>
      <c r="Z85" s="9"/>
      <c r="AA85" s="9"/>
      <c r="AB85" s="9"/>
      <c r="AC85" s="9"/>
      <c r="AD85" s="9"/>
      <c r="AE85" s="9"/>
      <c r="AF85" s="9"/>
      <c r="AG85" s="9"/>
      <c r="AH85" s="9"/>
      <c r="AI85" s="9"/>
      <c r="AJ85" s="9"/>
      <c r="AK85" s="9"/>
      <c r="AL85" s="9"/>
      <c r="AM85" s="9"/>
      <c r="AN85" s="9"/>
      <c r="AO85" s="9"/>
    </row>
    <row r="86" spans="1:41">
      <c r="A86" s="9"/>
      <c r="B86" s="9"/>
      <c r="C86" s="9"/>
      <c r="D86" s="9"/>
      <c r="E86" s="9"/>
      <c r="F86" s="9"/>
      <c r="G86" s="9"/>
      <c r="H86" s="9"/>
      <c r="I86" s="9"/>
      <c r="J86" s="9"/>
      <c r="K86" s="9"/>
      <c r="L86" s="9"/>
      <c r="M86" s="9"/>
      <c r="N86" s="9"/>
      <c r="O86" s="9"/>
      <c r="P86" s="9"/>
      <c r="Q86" s="9"/>
      <c r="R86" s="9"/>
      <c r="S86" s="9"/>
      <c r="T86" s="9"/>
      <c r="U86" s="9"/>
      <c r="V86" s="9"/>
      <c r="W86" s="9"/>
      <c r="X86" s="9"/>
      <c r="Y86" s="10"/>
      <c r="Z86" s="9"/>
      <c r="AA86" s="9"/>
      <c r="AB86" s="9"/>
      <c r="AC86" s="9"/>
      <c r="AD86" s="9"/>
      <c r="AE86" s="9"/>
      <c r="AF86" s="9"/>
      <c r="AG86" s="9"/>
      <c r="AH86" s="9"/>
      <c r="AI86" s="9"/>
      <c r="AJ86" s="9"/>
      <c r="AK86" s="9"/>
      <c r="AL86" s="9"/>
      <c r="AM86" s="9"/>
      <c r="AN86" s="9"/>
      <c r="AO86" s="9"/>
    </row>
    <row r="87" spans="1:41">
      <c r="A87" s="9"/>
      <c r="B87" s="9"/>
      <c r="C87" s="9"/>
      <c r="D87" s="9"/>
      <c r="E87" s="9"/>
      <c r="F87" s="9"/>
      <c r="G87" s="9"/>
      <c r="H87" s="9"/>
      <c r="I87" s="9"/>
      <c r="J87" s="9"/>
      <c r="K87" s="9"/>
      <c r="L87" s="9"/>
      <c r="M87" s="9"/>
      <c r="N87" s="9"/>
      <c r="O87" s="9"/>
      <c r="P87" s="9"/>
      <c r="Q87" s="9"/>
      <c r="R87" s="9"/>
      <c r="S87" s="9"/>
      <c r="T87" s="9"/>
      <c r="U87" s="9"/>
      <c r="V87" s="9"/>
      <c r="W87" s="9"/>
      <c r="X87" s="9"/>
      <c r="Y87" s="10"/>
      <c r="Z87" s="9"/>
      <c r="AA87" s="9"/>
      <c r="AB87" s="9"/>
      <c r="AC87" s="9"/>
      <c r="AD87" s="9"/>
      <c r="AE87" s="9"/>
      <c r="AF87" s="9"/>
      <c r="AG87" s="9"/>
      <c r="AH87" s="9"/>
      <c r="AI87" s="9"/>
      <c r="AJ87" s="9"/>
      <c r="AK87" s="9"/>
      <c r="AL87" s="9"/>
      <c r="AM87" s="9"/>
      <c r="AN87" s="9"/>
      <c r="AO87" s="9"/>
    </row>
    <row r="88" spans="1:41">
      <c r="A88" s="9"/>
      <c r="B88" s="9"/>
      <c r="C88" s="9"/>
      <c r="D88" s="9"/>
      <c r="E88" s="9"/>
      <c r="F88" s="9"/>
      <c r="G88" s="9"/>
      <c r="H88" s="9"/>
      <c r="I88" s="9"/>
      <c r="J88" s="9"/>
      <c r="K88" s="9"/>
      <c r="L88" s="9"/>
      <c r="M88" s="9"/>
      <c r="N88" s="9"/>
      <c r="O88" s="9"/>
      <c r="P88" s="9"/>
      <c r="Q88" s="9"/>
      <c r="R88" s="9"/>
      <c r="S88" s="9"/>
      <c r="T88" s="9"/>
      <c r="U88" s="9"/>
      <c r="V88" s="9"/>
      <c r="W88" s="9"/>
      <c r="X88" s="9"/>
      <c r="Y88" s="10"/>
      <c r="Z88" s="9"/>
      <c r="AA88" s="9"/>
      <c r="AB88" s="9"/>
      <c r="AC88" s="9"/>
      <c r="AD88" s="9"/>
      <c r="AE88" s="9"/>
      <c r="AF88" s="9"/>
      <c r="AG88" s="9"/>
      <c r="AH88" s="9"/>
      <c r="AI88" s="9"/>
      <c r="AJ88" s="9"/>
      <c r="AK88" s="9"/>
      <c r="AL88" s="9"/>
      <c r="AM88" s="9"/>
      <c r="AN88" s="9"/>
      <c r="AO88" s="9"/>
    </row>
    <row r="89" spans="1:41">
      <c r="A89" s="9"/>
      <c r="B89" s="9"/>
      <c r="C89" s="9"/>
      <c r="D89" s="9"/>
      <c r="E89" s="9"/>
      <c r="F89" s="9"/>
      <c r="G89" s="9"/>
      <c r="H89" s="9"/>
      <c r="I89" s="9"/>
      <c r="J89" s="9"/>
      <c r="K89" s="9"/>
      <c r="L89" s="9"/>
      <c r="M89" s="9"/>
      <c r="N89" s="9"/>
      <c r="O89" s="9"/>
      <c r="P89" s="9"/>
      <c r="Q89" s="9"/>
      <c r="R89" s="9"/>
      <c r="S89" s="9"/>
      <c r="T89" s="9"/>
      <c r="U89" s="9"/>
      <c r="V89" s="9"/>
      <c r="W89" s="9"/>
      <c r="X89" s="9"/>
      <c r="Y89" s="10"/>
      <c r="Z89" s="9"/>
      <c r="AA89" s="9"/>
      <c r="AB89" s="9"/>
      <c r="AC89" s="9"/>
      <c r="AD89" s="9"/>
      <c r="AE89" s="9"/>
      <c r="AF89" s="9"/>
      <c r="AG89" s="9"/>
      <c r="AH89" s="9"/>
      <c r="AI89" s="9"/>
      <c r="AJ89" s="9"/>
      <c r="AK89" s="9"/>
      <c r="AL89" s="9"/>
      <c r="AM89" s="9"/>
      <c r="AN89" s="9"/>
      <c r="AO89" s="9"/>
    </row>
    <row r="90" spans="1:41">
      <c r="A90" s="9"/>
      <c r="B90" s="9"/>
      <c r="C90" s="9"/>
      <c r="D90" s="9"/>
      <c r="E90" s="9"/>
      <c r="F90" s="9"/>
      <c r="G90" s="9"/>
      <c r="H90" s="9"/>
      <c r="I90" s="9"/>
      <c r="J90" s="9"/>
      <c r="K90" s="9"/>
      <c r="L90" s="9"/>
      <c r="M90" s="9"/>
      <c r="N90" s="9"/>
      <c r="O90" s="9"/>
      <c r="P90" s="9"/>
      <c r="Q90" s="9"/>
      <c r="R90" s="9"/>
      <c r="S90" s="9"/>
      <c r="T90" s="9"/>
      <c r="U90" s="9"/>
      <c r="V90" s="9"/>
      <c r="W90" s="9"/>
      <c r="X90" s="9"/>
      <c r="Y90" s="10"/>
      <c r="Z90" s="9"/>
      <c r="AA90" s="9"/>
      <c r="AB90" s="9"/>
      <c r="AC90" s="9"/>
      <c r="AD90" s="9"/>
      <c r="AE90" s="9"/>
      <c r="AF90" s="9"/>
      <c r="AG90" s="9"/>
      <c r="AH90" s="9"/>
      <c r="AI90" s="9"/>
      <c r="AJ90" s="9"/>
      <c r="AK90" s="9"/>
      <c r="AL90" s="9"/>
      <c r="AM90" s="9"/>
      <c r="AN90" s="9"/>
      <c r="AO90" s="9"/>
    </row>
    <row r="91" spans="1:41">
      <c r="A91" s="9"/>
      <c r="B91" s="9"/>
      <c r="C91" s="9"/>
      <c r="D91" s="9"/>
      <c r="E91" s="9"/>
      <c r="F91" s="9"/>
      <c r="G91" s="9"/>
      <c r="H91" s="9"/>
      <c r="I91" s="9"/>
      <c r="J91" s="9"/>
      <c r="K91" s="9"/>
      <c r="L91" s="9"/>
      <c r="M91" s="9"/>
      <c r="N91" s="9"/>
      <c r="O91" s="9"/>
      <c r="P91" s="9"/>
      <c r="Q91" s="9"/>
      <c r="R91" s="9"/>
      <c r="S91" s="9"/>
      <c r="T91" s="9"/>
      <c r="U91" s="9"/>
      <c r="V91" s="9"/>
      <c r="W91" s="9"/>
      <c r="X91" s="9"/>
      <c r="Y91" s="10"/>
      <c r="Z91" s="9"/>
      <c r="AA91" s="9"/>
      <c r="AB91" s="9"/>
      <c r="AC91" s="9"/>
      <c r="AD91" s="9"/>
      <c r="AE91" s="9"/>
      <c r="AF91" s="9"/>
      <c r="AG91" s="9"/>
      <c r="AH91" s="9"/>
      <c r="AI91" s="9"/>
      <c r="AJ91" s="9"/>
      <c r="AK91" s="9"/>
      <c r="AL91" s="9"/>
      <c r="AM91" s="9"/>
      <c r="AN91" s="9"/>
      <c r="AO91" s="9"/>
    </row>
    <row r="92" spans="1:41">
      <c r="A92" s="9"/>
      <c r="B92" s="9"/>
      <c r="C92" s="9"/>
      <c r="D92" s="9"/>
      <c r="E92" s="9"/>
      <c r="F92" s="9"/>
      <c r="G92" s="9"/>
      <c r="H92" s="9"/>
      <c r="I92" s="9"/>
      <c r="J92" s="9"/>
      <c r="K92" s="9"/>
      <c r="L92" s="9"/>
      <c r="M92" s="9"/>
      <c r="N92" s="9"/>
      <c r="O92" s="9"/>
      <c r="P92" s="9"/>
      <c r="Q92" s="9"/>
      <c r="R92" s="9"/>
      <c r="S92" s="9"/>
      <c r="T92" s="9"/>
      <c r="U92" s="9"/>
      <c r="V92" s="9"/>
      <c r="W92" s="9"/>
      <c r="X92" s="9"/>
      <c r="Y92" s="10"/>
      <c r="Z92" s="9"/>
      <c r="AA92" s="9"/>
      <c r="AB92" s="9"/>
      <c r="AC92" s="9"/>
      <c r="AD92" s="9"/>
      <c r="AE92" s="9"/>
      <c r="AF92" s="9"/>
      <c r="AG92" s="9"/>
      <c r="AH92" s="9"/>
      <c r="AI92" s="9"/>
      <c r="AJ92" s="9"/>
      <c r="AK92" s="9"/>
      <c r="AL92" s="9"/>
      <c r="AM92" s="9"/>
      <c r="AN92" s="9"/>
      <c r="AO92" s="9"/>
    </row>
    <row r="93" spans="1:41">
      <c r="A93" s="9"/>
      <c r="B93" s="9"/>
      <c r="C93" s="9"/>
      <c r="D93" s="9"/>
      <c r="E93" s="9"/>
      <c r="F93" s="9"/>
      <c r="G93" s="9"/>
      <c r="H93" s="9"/>
      <c r="I93" s="9"/>
      <c r="J93" s="9"/>
      <c r="K93" s="9"/>
      <c r="L93" s="9"/>
      <c r="M93" s="9"/>
      <c r="N93" s="9"/>
      <c r="O93" s="9"/>
      <c r="P93" s="9"/>
      <c r="Q93" s="9"/>
      <c r="R93" s="9"/>
      <c r="S93" s="9"/>
      <c r="T93" s="9"/>
      <c r="U93" s="9"/>
      <c r="V93" s="9"/>
      <c r="W93" s="9"/>
      <c r="X93" s="9"/>
      <c r="Y93" s="10"/>
      <c r="Z93" s="9"/>
      <c r="AA93" s="9"/>
      <c r="AB93" s="9"/>
      <c r="AC93" s="9"/>
      <c r="AD93" s="9"/>
      <c r="AE93" s="9"/>
      <c r="AF93" s="9"/>
      <c r="AG93" s="9"/>
      <c r="AH93" s="9"/>
      <c r="AI93" s="9"/>
      <c r="AJ93" s="9"/>
      <c r="AK93" s="9"/>
      <c r="AL93" s="9"/>
      <c r="AM93" s="9"/>
      <c r="AN93" s="9"/>
      <c r="AO93" s="9"/>
    </row>
    <row r="94" spans="1:41">
      <c r="A94" s="9"/>
      <c r="B94" s="9"/>
      <c r="C94" s="9"/>
      <c r="D94" s="9"/>
      <c r="E94" s="9"/>
      <c r="F94" s="9"/>
      <c r="G94" s="9"/>
      <c r="H94" s="9"/>
      <c r="I94" s="9"/>
      <c r="J94" s="9"/>
      <c r="K94" s="9"/>
      <c r="L94" s="9"/>
      <c r="M94" s="9"/>
      <c r="N94" s="9"/>
      <c r="O94" s="9"/>
      <c r="P94" s="9"/>
      <c r="Q94" s="9"/>
      <c r="R94" s="9"/>
      <c r="S94" s="9"/>
      <c r="T94" s="9"/>
      <c r="U94" s="9"/>
      <c r="V94" s="9"/>
      <c r="W94" s="9"/>
      <c r="X94" s="9"/>
      <c r="Y94" s="10"/>
      <c r="Z94" s="9"/>
      <c r="AA94" s="9"/>
      <c r="AB94" s="9"/>
      <c r="AC94" s="9"/>
      <c r="AD94" s="9"/>
      <c r="AE94" s="9"/>
      <c r="AF94" s="9"/>
      <c r="AG94" s="9"/>
      <c r="AH94" s="9"/>
      <c r="AI94" s="9"/>
      <c r="AJ94" s="9"/>
      <c r="AK94" s="9"/>
      <c r="AL94" s="9"/>
      <c r="AM94" s="9"/>
      <c r="AN94" s="9"/>
      <c r="AO94" s="9"/>
    </row>
    <row r="95" spans="1:41">
      <c r="A95" s="9"/>
      <c r="B95" s="9"/>
      <c r="C95" s="9"/>
      <c r="D95" s="9"/>
      <c r="E95" s="9"/>
      <c r="F95" s="9"/>
      <c r="G95" s="9"/>
      <c r="H95" s="9"/>
      <c r="I95" s="9"/>
      <c r="J95" s="9"/>
      <c r="K95" s="9"/>
      <c r="L95" s="9"/>
      <c r="M95" s="9"/>
      <c r="N95" s="9"/>
      <c r="O95" s="9"/>
      <c r="P95" s="9"/>
      <c r="Q95" s="9"/>
      <c r="R95" s="9"/>
      <c r="S95" s="9"/>
      <c r="T95" s="9"/>
      <c r="U95" s="9"/>
      <c r="V95" s="9"/>
      <c r="W95" s="9"/>
      <c r="X95" s="9"/>
      <c r="Y95" s="10"/>
      <c r="Z95" s="9"/>
      <c r="AA95" s="9"/>
      <c r="AB95" s="9"/>
      <c r="AC95" s="9"/>
      <c r="AD95" s="9"/>
      <c r="AE95" s="9"/>
      <c r="AF95" s="9"/>
      <c r="AG95" s="9"/>
      <c r="AH95" s="9"/>
      <c r="AI95" s="9"/>
      <c r="AJ95" s="9"/>
      <c r="AK95" s="9"/>
      <c r="AL95" s="9"/>
      <c r="AM95" s="9"/>
      <c r="AN95" s="9"/>
      <c r="AO95" s="9"/>
    </row>
    <row r="96" spans="1:41">
      <c r="A96" s="9"/>
      <c r="B96" s="9"/>
      <c r="C96" s="9"/>
      <c r="D96" s="9"/>
      <c r="E96" s="9"/>
      <c r="F96" s="9"/>
      <c r="G96" s="9"/>
      <c r="H96" s="9"/>
      <c r="I96" s="9"/>
      <c r="J96" s="9"/>
      <c r="K96" s="9"/>
      <c r="L96" s="9"/>
      <c r="M96" s="9"/>
      <c r="N96" s="9"/>
      <c r="O96" s="9"/>
      <c r="P96" s="9"/>
      <c r="Q96" s="9"/>
      <c r="R96" s="9"/>
      <c r="S96" s="9"/>
      <c r="T96" s="9"/>
      <c r="U96" s="9"/>
      <c r="V96" s="9"/>
      <c r="W96" s="9"/>
      <c r="X96" s="9"/>
      <c r="Y96" s="10"/>
      <c r="Z96" s="9"/>
      <c r="AA96" s="9"/>
      <c r="AB96" s="9"/>
      <c r="AC96" s="9"/>
      <c r="AD96" s="9"/>
      <c r="AE96" s="9"/>
      <c r="AF96" s="9"/>
      <c r="AG96" s="9"/>
      <c r="AH96" s="9"/>
      <c r="AI96" s="9"/>
      <c r="AJ96" s="9"/>
      <c r="AK96" s="9"/>
      <c r="AL96" s="9"/>
      <c r="AM96" s="9"/>
      <c r="AN96" s="9"/>
      <c r="AO96" s="9"/>
    </row>
    <row r="97" spans="1:41">
      <c r="A97" s="9"/>
      <c r="B97" s="9"/>
      <c r="C97" s="9"/>
      <c r="D97" s="9"/>
      <c r="E97" s="9"/>
      <c r="F97" s="9"/>
      <c r="G97" s="9"/>
      <c r="H97" s="9"/>
      <c r="I97" s="9"/>
      <c r="J97" s="9"/>
      <c r="K97" s="9"/>
      <c r="L97" s="9"/>
      <c r="M97" s="9"/>
      <c r="N97" s="9"/>
      <c r="O97" s="9"/>
      <c r="P97" s="9"/>
      <c r="Q97" s="9"/>
      <c r="R97" s="9"/>
      <c r="S97" s="9"/>
      <c r="T97" s="9"/>
      <c r="U97" s="9"/>
      <c r="V97" s="9"/>
      <c r="W97" s="9"/>
      <c r="X97" s="9"/>
      <c r="Y97" s="10"/>
      <c r="Z97" s="9"/>
      <c r="AA97" s="9"/>
      <c r="AB97" s="9"/>
      <c r="AC97" s="9"/>
      <c r="AD97" s="9"/>
      <c r="AE97" s="9"/>
      <c r="AF97" s="9"/>
      <c r="AG97" s="9"/>
      <c r="AH97" s="9"/>
      <c r="AI97" s="9"/>
      <c r="AJ97" s="9"/>
      <c r="AK97" s="9"/>
      <c r="AL97" s="9"/>
      <c r="AM97" s="9"/>
      <c r="AN97" s="9"/>
      <c r="AO97" s="9"/>
    </row>
    <row r="98" spans="1:41">
      <c r="A98" s="9"/>
      <c r="B98" s="9"/>
      <c r="C98" s="9"/>
      <c r="D98" s="9"/>
      <c r="E98" s="9"/>
      <c r="F98" s="9"/>
      <c r="G98" s="9"/>
      <c r="H98" s="9"/>
      <c r="I98" s="9"/>
      <c r="J98" s="9"/>
      <c r="K98" s="9"/>
      <c r="L98" s="9"/>
      <c r="M98" s="9"/>
      <c r="N98" s="9"/>
      <c r="O98" s="9"/>
      <c r="P98" s="9"/>
      <c r="Q98" s="9"/>
      <c r="R98" s="9"/>
      <c r="S98" s="9"/>
      <c r="T98" s="9"/>
      <c r="U98" s="9"/>
      <c r="V98" s="9"/>
      <c r="W98" s="9"/>
      <c r="X98" s="9"/>
      <c r="Y98" s="10"/>
      <c r="Z98" s="9"/>
      <c r="AA98" s="9"/>
      <c r="AB98" s="9"/>
      <c r="AC98" s="9"/>
      <c r="AD98" s="9"/>
      <c r="AE98" s="9"/>
      <c r="AF98" s="9"/>
      <c r="AG98" s="9"/>
      <c r="AH98" s="9"/>
      <c r="AI98" s="9"/>
      <c r="AJ98" s="9"/>
      <c r="AK98" s="9"/>
      <c r="AL98" s="9"/>
      <c r="AM98" s="9"/>
      <c r="AN98" s="9"/>
      <c r="AO98" s="9"/>
    </row>
    <row r="99" spans="1:41">
      <c r="A99" s="9"/>
      <c r="B99" s="9"/>
      <c r="C99" s="9"/>
      <c r="D99" s="9"/>
      <c r="E99" s="9"/>
      <c r="F99" s="9"/>
      <c r="G99" s="9"/>
      <c r="H99" s="9"/>
      <c r="I99" s="9"/>
      <c r="J99" s="9"/>
      <c r="K99" s="9"/>
      <c r="L99" s="9"/>
      <c r="M99" s="9"/>
      <c r="N99" s="9"/>
      <c r="O99" s="9"/>
      <c r="P99" s="9"/>
      <c r="Q99" s="9"/>
      <c r="R99" s="9"/>
      <c r="S99" s="9"/>
      <c r="T99" s="9"/>
      <c r="U99" s="9"/>
      <c r="V99" s="9"/>
      <c r="W99" s="9"/>
      <c r="X99" s="9"/>
      <c r="Y99" s="10"/>
      <c r="Z99" s="9"/>
      <c r="AA99" s="9"/>
      <c r="AB99" s="9"/>
      <c r="AC99" s="9"/>
      <c r="AD99" s="9"/>
      <c r="AE99" s="9"/>
      <c r="AF99" s="9"/>
      <c r="AG99" s="9"/>
      <c r="AH99" s="9"/>
      <c r="AI99" s="9"/>
      <c r="AJ99" s="9"/>
      <c r="AK99" s="9"/>
      <c r="AL99" s="9"/>
      <c r="AM99" s="9"/>
      <c r="AN99" s="9"/>
      <c r="AO99" s="9"/>
    </row>
    <row r="100" spans="1:41">
      <c r="A100" s="9"/>
      <c r="B100" s="9"/>
      <c r="C100" s="9"/>
      <c r="D100" s="9"/>
      <c r="E100" s="9"/>
      <c r="F100" s="9"/>
      <c r="G100" s="9"/>
      <c r="H100" s="9"/>
      <c r="I100" s="9"/>
      <c r="J100" s="9"/>
      <c r="K100" s="9"/>
      <c r="L100" s="9"/>
      <c r="M100" s="9"/>
      <c r="N100" s="9"/>
      <c r="O100" s="9"/>
      <c r="P100" s="9"/>
      <c r="Q100" s="9"/>
      <c r="R100" s="9"/>
      <c r="S100" s="9"/>
      <c r="T100" s="9"/>
      <c r="U100" s="9"/>
      <c r="V100" s="9"/>
      <c r="W100" s="9"/>
      <c r="X100" s="9"/>
      <c r="Y100" s="10"/>
      <c r="Z100" s="9"/>
      <c r="AA100" s="9"/>
      <c r="AB100" s="9"/>
      <c r="AC100" s="9"/>
      <c r="AD100" s="9"/>
      <c r="AE100" s="9"/>
      <c r="AF100" s="9"/>
      <c r="AG100" s="9"/>
      <c r="AH100" s="9"/>
      <c r="AI100" s="9"/>
      <c r="AJ100" s="9"/>
      <c r="AK100" s="9"/>
      <c r="AL100" s="9"/>
      <c r="AM100" s="9"/>
      <c r="AN100" s="9"/>
      <c r="AO100" s="9"/>
    </row>
    <row r="101" spans="1:41">
      <c r="A101" s="9"/>
      <c r="B101" s="9"/>
      <c r="C101" s="9"/>
      <c r="D101" s="9"/>
      <c r="E101" s="9"/>
      <c r="F101" s="9"/>
      <c r="G101" s="9"/>
      <c r="H101" s="9"/>
      <c r="I101" s="9"/>
      <c r="J101" s="9"/>
      <c r="K101" s="9"/>
      <c r="L101" s="9"/>
      <c r="M101" s="9"/>
      <c r="N101" s="9"/>
      <c r="O101" s="9"/>
      <c r="P101" s="9"/>
      <c r="Q101" s="9"/>
      <c r="R101" s="9"/>
      <c r="S101" s="9"/>
      <c r="T101" s="9"/>
      <c r="U101" s="9"/>
      <c r="V101" s="9"/>
      <c r="W101" s="9"/>
      <c r="X101" s="9"/>
      <c r="Y101" s="10"/>
      <c r="Z101" s="9"/>
      <c r="AA101" s="9"/>
      <c r="AB101" s="9"/>
      <c r="AC101" s="9"/>
      <c r="AD101" s="9"/>
      <c r="AE101" s="9"/>
      <c r="AF101" s="9"/>
      <c r="AG101" s="9"/>
      <c r="AH101" s="9"/>
      <c r="AI101" s="9"/>
      <c r="AJ101" s="9"/>
      <c r="AK101" s="9"/>
      <c r="AL101" s="9"/>
      <c r="AM101" s="9"/>
      <c r="AN101" s="9"/>
      <c r="AO101" s="9"/>
    </row>
    <row r="102" spans="1:41">
      <c r="A102" s="9"/>
      <c r="B102" s="9"/>
      <c r="C102" s="9"/>
      <c r="D102" s="9"/>
      <c r="E102" s="9"/>
      <c r="F102" s="9"/>
      <c r="G102" s="9"/>
      <c r="H102" s="9"/>
      <c r="I102" s="9"/>
      <c r="J102" s="9"/>
      <c r="K102" s="9"/>
      <c r="L102" s="9"/>
      <c r="M102" s="9"/>
      <c r="N102" s="9"/>
      <c r="O102" s="9"/>
      <c r="P102" s="9"/>
      <c r="Q102" s="9"/>
      <c r="R102" s="9"/>
      <c r="S102" s="9"/>
      <c r="T102" s="9"/>
      <c r="U102" s="9"/>
      <c r="V102" s="9"/>
      <c r="W102" s="9"/>
      <c r="X102" s="9"/>
      <c r="Y102" s="10"/>
      <c r="Z102" s="9"/>
      <c r="AA102" s="9"/>
      <c r="AB102" s="9"/>
      <c r="AC102" s="9"/>
      <c r="AD102" s="9"/>
      <c r="AE102" s="9"/>
      <c r="AF102" s="9"/>
      <c r="AG102" s="9"/>
      <c r="AH102" s="9"/>
      <c r="AI102" s="9"/>
      <c r="AJ102" s="9"/>
      <c r="AK102" s="9"/>
      <c r="AL102" s="9"/>
      <c r="AM102" s="9"/>
      <c r="AN102" s="9"/>
      <c r="AO102" s="9"/>
    </row>
    <row r="103" spans="1:41">
      <c r="A103" s="9"/>
      <c r="B103" s="9"/>
      <c r="C103" s="9"/>
      <c r="D103" s="9"/>
      <c r="E103" s="9"/>
      <c r="F103" s="9"/>
      <c r="G103" s="9"/>
      <c r="H103" s="9"/>
      <c r="I103" s="9"/>
      <c r="J103" s="9"/>
      <c r="K103" s="9"/>
      <c r="L103" s="9"/>
      <c r="M103" s="9"/>
      <c r="N103" s="9"/>
      <c r="O103" s="9"/>
      <c r="P103" s="9"/>
      <c r="Q103" s="9"/>
      <c r="R103" s="9"/>
      <c r="S103" s="9"/>
      <c r="T103" s="9"/>
      <c r="U103" s="9"/>
      <c r="V103" s="9"/>
      <c r="W103" s="9"/>
      <c r="X103" s="9"/>
      <c r="Y103" s="10"/>
      <c r="Z103" s="9"/>
      <c r="AA103" s="9"/>
      <c r="AB103" s="9"/>
      <c r="AC103" s="9"/>
      <c r="AD103" s="9"/>
      <c r="AE103" s="9"/>
      <c r="AF103" s="9"/>
      <c r="AG103" s="9"/>
      <c r="AH103" s="9"/>
      <c r="AI103" s="9"/>
      <c r="AJ103" s="9"/>
      <c r="AK103" s="9"/>
      <c r="AL103" s="9"/>
      <c r="AM103" s="9"/>
      <c r="AN103" s="9"/>
      <c r="AO103" s="9"/>
    </row>
    <row r="104" spans="1:41">
      <c r="A104" s="9"/>
      <c r="B104" s="9"/>
      <c r="C104" s="9"/>
      <c r="D104" s="9"/>
      <c r="E104" s="9"/>
      <c r="F104" s="9"/>
      <c r="G104" s="9"/>
      <c r="H104" s="9"/>
      <c r="I104" s="9"/>
      <c r="J104" s="9"/>
      <c r="K104" s="9"/>
      <c r="L104" s="9"/>
      <c r="M104" s="9"/>
      <c r="N104" s="9"/>
      <c r="O104" s="9"/>
      <c r="P104" s="9"/>
      <c r="Q104" s="9"/>
      <c r="R104" s="9"/>
      <c r="S104" s="9"/>
      <c r="T104" s="9"/>
      <c r="U104" s="9"/>
      <c r="V104" s="9"/>
      <c r="W104" s="9"/>
      <c r="X104" s="9"/>
      <c r="Y104" s="10"/>
      <c r="Z104" s="9"/>
      <c r="AA104" s="9"/>
      <c r="AB104" s="9"/>
      <c r="AC104" s="9"/>
      <c r="AD104" s="9"/>
      <c r="AE104" s="9"/>
      <c r="AF104" s="9"/>
      <c r="AG104" s="9"/>
      <c r="AH104" s="9"/>
      <c r="AI104" s="9"/>
      <c r="AJ104" s="9"/>
      <c r="AK104" s="9"/>
      <c r="AL104" s="9"/>
      <c r="AM104" s="9"/>
      <c r="AN104" s="9"/>
      <c r="AO104" s="9"/>
    </row>
    <row r="105" spans="1:41">
      <c r="A105" s="9"/>
      <c r="B105" s="9"/>
      <c r="C105" s="9"/>
      <c r="D105" s="9"/>
      <c r="E105" s="9"/>
      <c r="F105" s="9"/>
      <c r="G105" s="9"/>
      <c r="H105" s="9"/>
      <c r="I105" s="9"/>
      <c r="J105" s="9"/>
      <c r="K105" s="9"/>
      <c r="L105" s="9"/>
      <c r="M105" s="9"/>
      <c r="N105" s="9"/>
      <c r="O105" s="9"/>
      <c r="P105" s="9"/>
      <c r="Q105" s="9"/>
      <c r="R105" s="9"/>
      <c r="S105" s="9"/>
      <c r="T105" s="9"/>
      <c r="U105" s="9"/>
      <c r="V105" s="9"/>
      <c r="W105" s="9"/>
      <c r="X105" s="9"/>
      <c r="Y105" s="10"/>
      <c r="Z105" s="9"/>
      <c r="AA105" s="9"/>
      <c r="AB105" s="9"/>
      <c r="AC105" s="9"/>
      <c r="AD105" s="9"/>
      <c r="AE105" s="9"/>
      <c r="AF105" s="9"/>
      <c r="AG105" s="9"/>
      <c r="AH105" s="9"/>
      <c r="AI105" s="9"/>
      <c r="AJ105" s="9"/>
      <c r="AK105" s="9"/>
      <c r="AL105" s="9"/>
      <c r="AM105" s="9"/>
      <c r="AN105" s="9"/>
      <c r="AO105" s="9"/>
    </row>
    <row r="106" spans="1:41">
      <c r="A106" s="9"/>
      <c r="B106" s="9"/>
      <c r="C106" s="9"/>
      <c r="D106" s="9"/>
      <c r="E106" s="9"/>
      <c r="F106" s="9"/>
      <c r="G106" s="9"/>
      <c r="H106" s="9"/>
      <c r="I106" s="9"/>
      <c r="J106" s="9"/>
      <c r="K106" s="9"/>
      <c r="L106" s="9"/>
      <c r="M106" s="9"/>
      <c r="N106" s="9"/>
      <c r="O106" s="9"/>
      <c r="P106" s="9"/>
      <c r="Q106" s="9"/>
      <c r="R106" s="9"/>
      <c r="S106" s="9"/>
      <c r="T106" s="9"/>
      <c r="U106" s="9"/>
      <c r="V106" s="9"/>
      <c r="W106" s="9"/>
      <c r="X106" s="9"/>
      <c r="Y106" s="10"/>
      <c r="Z106" s="9"/>
      <c r="AA106" s="9"/>
      <c r="AB106" s="9"/>
      <c r="AC106" s="9"/>
      <c r="AD106" s="9"/>
      <c r="AE106" s="9"/>
      <c r="AF106" s="9"/>
      <c r="AG106" s="9"/>
      <c r="AH106" s="9"/>
      <c r="AI106" s="9"/>
      <c r="AJ106" s="9"/>
      <c r="AK106" s="9"/>
      <c r="AL106" s="9"/>
      <c r="AM106" s="9"/>
      <c r="AN106" s="9"/>
      <c r="AO106" s="9"/>
    </row>
    <row r="107" spans="1:41">
      <c r="A107" s="9"/>
      <c r="B107" s="9"/>
      <c r="C107" s="9"/>
      <c r="D107" s="9"/>
      <c r="E107" s="9"/>
      <c r="F107" s="9"/>
      <c r="G107" s="9"/>
      <c r="H107" s="9"/>
      <c r="I107" s="9"/>
      <c r="J107" s="9"/>
      <c r="K107" s="9"/>
      <c r="L107" s="9"/>
      <c r="M107" s="9"/>
      <c r="N107" s="9"/>
      <c r="O107" s="9"/>
      <c r="P107" s="9"/>
      <c r="Q107" s="9"/>
      <c r="R107" s="9"/>
      <c r="S107" s="9"/>
      <c r="T107" s="9"/>
      <c r="U107" s="9"/>
      <c r="V107" s="9"/>
      <c r="W107" s="9"/>
      <c r="X107" s="9"/>
      <c r="Y107" s="10"/>
      <c r="Z107" s="9"/>
      <c r="AA107" s="9"/>
      <c r="AB107" s="9"/>
      <c r="AC107" s="9"/>
      <c r="AD107" s="9"/>
      <c r="AE107" s="9"/>
      <c r="AF107" s="9"/>
      <c r="AG107" s="9"/>
      <c r="AH107" s="9"/>
      <c r="AI107" s="9"/>
      <c r="AJ107" s="9"/>
      <c r="AK107" s="9"/>
      <c r="AL107" s="9"/>
      <c r="AM107" s="9"/>
      <c r="AN107" s="9"/>
      <c r="AO107" s="9"/>
    </row>
    <row r="108" spans="1:41">
      <c r="A108" s="9"/>
      <c r="B108" s="9"/>
      <c r="C108" s="9"/>
      <c r="D108" s="9"/>
      <c r="E108" s="9"/>
      <c r="F108" s="9"/>
      <c r="G108" s="9"/>
      <c r="H108" s="9"/>
      <c r="I108" s="9"/>
      <c r="J108" s="9"/>
      <c r="K108" s="9"/>
      <c r="L108" s="9"/>
      <c r="M108" s="9"/>
      <c r="N108" s="9"/>
      <c r="O108" s="9"/>
      <c r="P108" s="9"/>
      <c r="Q108" s="9"/>
      <c r="R108" s="9"/>
      <c r="S108" s="9"/>
      <c r="T108" s="9"/>
      <c r="U108" s="9"/>
      <c r="V108" s="9"/>
      <c r="W108" s="9"/>
      <c r="X108" s="9"/>
      <c r="Y108" s="10"/>
      <c r="Z108" s="9"/>
      <c r="AA108" s="9"/>
      <c r="AB108" s="9"/>
      <c r="AC108" s="9"/>
      <c r="AD108" s="9"/>
      <c r="AE108" s="9"/>
      <c r="AF108" s="9"/>
      <c r="AG108" s="9"/>
      <c r="AH108" s="9"/>
      <c r="AI108" s="9"/>
      <c r="AJ108" s="9"/>
      <c r="AK108" s="9"/>
      <c r="AL108" s="9"/>
      <c r="AM108" s="9"/>
      <c r="AN108" s="9"/>
      <c r="AO108" s="9"/>
    </row>
    <row r="109" spans="1:41">
      <c r="A109" s="9"/>
      <c r="B109" s="9"/>
      <c r="C109" s="9"/>
      <c r="D109" s="9"/>
      <c r="E109" s="9"/>
      <c r="F109" s="9"/>
      <c r="G109" s="9"/>
      <c r="H109" s="9"/>
      <c r="I109" s="9"/>
      <c r="J109" s="9"/>
      <c r="K109" s="9"/>
      <c r="L109" s="9"/>
      <c r="M109" s="9"/>
      <c r="N109" s="9"/>
      <c r="O109" s="9"/>
      <c r="P109" s="9"/>
      <c r="Q109" s="9"/>
      <c r="R109" s="9"/>
      <c r="S109" s="9"/>
      <c r="T109" s="9"/>
      <c r="U109" s="9"/>
      <c r="V109" s="9"/>
      <c r="W109" s="9"/>
      <c r="X109" s="9"/>
      <c r="Y109" s="10"/>
      <c r="Z109" s="9"/>
      <c r="AA109" s="9"/>
      <c r="AB109" s="9"/>
      <c r="AC109" s="9"/>
      <c r="AD109" s="9"/>
      <c r="AE109" s="9"/>
      <c r="AF109" s="9"/>
      <c r="AG109" s="9"/>
      <c r="AH109" s="9"/>
      <c r="AI109" s="9"/>
      <c r="AJ109" s="9"/>
      <c r="AK109" s="9"/>
      <c r="AL109" s="9"/>
      <c r="AM109" s="9"/>
      <c r="AN109" s="9"/>
      <c r="AO109" s="9"/>
    </row>
    <row r="110" spans="1:41">
      <c r="A110" s="9"/>
      <c r="B110" s="9"/>
      <c r="C110" s="9"/>
      <c r="D110" s="9"/>
      <c r="E110" s="9"/>
      <c r="F110" s="9"/>
      <c r="G110" s="9"/>
      <c r="H110" s="9"/>
      <c r="I110" s="9"/>
      <c r="J110" s="9"/>
      <c r="K110" s="9"/>
      <c r="L110" s="9"/>
      <c r="M110" s="9"/>
      <c r="N110" s="9"/>
      <c r="O110" s="9"/>
      <c r="P110" s="9"/>
      <c r="Q110" s="9"/>
      <c r="R110" s="9"/>
      <c r="S110" s="9"/>
      <c r="T110" s="9"/>
      <c r="U110" s="9"/>
      <c r="V110" s="9"/>
      <c r="W110" s="9"/>
      <c r="X110" s="9"/>
      <c r="Y110" s="10"/>
      <c r="Z110" s="9"/>
      <c r="AA110" s="9"/>
      <c r="AB110" s="9"/>
      <c r="AC110" s="9"/>
      <c r="AD110" s="9"/>
      <c r="AE110" s="9"/>
      <c r="AF110" s="9"/>
      <c r="AG110" s="9"/>
      <c r="AH110" s="9"/>
      <c r="AI110" s="9"/>
      <c r="AJ110" s="9"/>
      <c r="AK110" s="9"/>
      <c r="AL110" s="9"/>
      <c r="AM110" s="9"/>
      <c r="AN110" s="9"/>
      <c r="AO110" s="9"/>
    </row>
    <row r="111" spans="1:41">
      <c r="A111" s="9"/>
      <c r="B111" s="9"/>
      <c r="C111" s="9"/>
      <c r="D111" s="9"/>
      <c r="E111" s="9"/>
      <c r="F111" s="9"/>
      <c r="G111" s="9"/>
      <c r="H111" s="9"/>
      <c r="I111" s="9"/>
      <c r="J111" s="9"/>
      <c r="K111" s="9"/>
      <c r="L111" s="9"/>
      <c r="M111" s="9"/>
      <c r="N111" s="9"/>
      <c r="O111" s="9"/>
      <c r="P111" s="9"/>
      <c r="Q111" s="9"/>
      <c r="R111" s="9"/>
      <c r="S111" s="9"/>
      <c r="T111" s="9"/>
      <c r="U111" s="9"/>
      <c r="V111" s="9"/>
      <c r="W111" s="9"/>
      <c r="X111" s="9"/>
      <c r="Y111" s="10"/>
      <c r="Z111" s="9"/>
      <c r="AA111" s="9"/>
      <c r="AB111" s="9"/>
      <c r="AC111" s="9"/>
      <c r="AD111" s="9"/>
      <c r="AE111" s="9"/>
      <c r="AF111" s="9"/>
      <c r="AG111" s="9"/>
      <c r="AH111" s="9"/>
      <c r="AI111" s="9"/>
      <c r="AJ111" s="9"/>
      <c r="AK111" s="9"/>
      <c r="AL111" s="9"/>
      <c r="AM111" s="9"/>
      <c r="AN111" s="9"/>
      <c r="AO111" s="9"/>
    </row>
    <row r="112" spans="1:41">
      <c r="A112" s="9"/>
      <c r="B112" s="9"/>
      <c r="C112" s="9"/>
      <c r="D112" s="9"/>
      <c r="E112" s="9"/>
      <c r="F112" s="9"/>
      <c r="G112" s="9"/>
      <c r="H112" s="9"/>
      <c r="I112" s="9"/>
      <c r="J112" s="9"/>
      <c r="K112" s="9"/>
      <c r="L112" s="9"/>
      <c r="M112" s="9"/>
      <c r="N112" s="9"/>
      <c r="O112" s="9"/>
      <c r="P112" s="9"/>
      <c r="Q112" s="9"/>
      <c r="R112" s="9"/>
      <c r="S112" s="9"/>
      <c r="T112" s="9"/>
      <c r="U112" s="9"/>
      <c r="V112" s="9"/>
      <c r="W112" s="9"/>
      <c r="X112" s="9"/>
      <c r="Y112" s="10"/>
      <c r="Z112" s="9"/>
      <c r="AA112" s="9"/>
      <c r="AB112" s="9"/>
      <c r="AC112" s="9"/>
      <c r="AD112" s="9"/>
      <c r="AE112" s="9"/>
      <c r="AF112" s="9"/>
      <c r="AG112" s="9"/>
      <c r="AH112" s="9"/>
      <c r="AI112" s="9"/>
      <c r="AJ112" s="9"/>
      <c r="AK112" s="9"/>
      <c r="AL112" s="9"/>
      <c r="AM112" s="9"/>
      <c r="AN112" s="9"/>
      <c r="AO112" s="9"/>
    </row>
    <row r="113" spans="1:41">
      <c r="A113" s="9"/>
      <c r="B113" s="9"/>
      <c r="C113" s="9"/>
      <c r="D113" s="9"/>
      <c r="E113" s="9"/>
      <c r="F113" s="9"/>
      <c r="G113" s="9"/>
      <c r="H113" s="9"/>
      <c r="I113" s="9"/>
      <c r="J113" s="9"/>
      <c r="K113" s="9"/>
      <c r="L113" s="9"/>
      <c r="M113" s="9"/>
      <c r="N113" s="9"/>
      <c r="O113" s="9"/>
      <c r="P113" s="9"/>
      <c r="Q113" s="9"/>
      <c r="R113" s="9"/>
      <c r="S113" s="9"/>
      <c r="T113" s="9"/>
      <c r="U113" s="9"/>
      <c r="V113" s="9"/>
      <c r="W113" s="9"/>
      <c r="X113" s="9"/>
      <c r="Y113" s="10"/>
      <c r="Z113" s="9"/>
      <c r="AA113" s="9"/>
      <c r="AB113" s="9"/>
      <c r="AC113" s="9"/>
      <c r="AD113" s="9"/>
      <c r="AE113" s="9"/>
      <c r="AF113" s="9"/>
      <c r="AG113" s="9"/>
      <c r="AH113" s="9"/>
      <c r="AI113" s="9"/>
      <c r="AJ113" s="9"/>
      <c r="AK113" s="9"/>
      <c r="AL113" s="9"/>
      <c r="AM113" s="9"/>
      <c r="AN113" s="9"/>
      <c r="AO113" s="9"/>
    </row>
    <row r="114" spans="1:41">
      <c r="A114" s="9"/>
      <c r="B114" s="9"/>
      <c r="C114" s="9"/>
      <c r="D114" s="9"/>
      <c r="E114" s="9"/>
      <c r="F114" s="9"/>
      <c r="G114" s="9"/>
      <c r="H114" s="9"/>
      <c r="I114" s="9"/>
      <c r="J114" s="9"/>
      <c r="K114" s="9"/>
      <c r="L114" s="9"/>
      <c r="M114" s="9"/>
      <c r="N114" s="9"/>
      <c r="O114" s="9"/>
      <c r="P114" s="9"/>
      <c r="Q114" s="9"/>
      <c r="R114" s="9"/>
      <c r="S114" s="9"/>
      <c r="T114" s="9"/>
      <c r="U114" s="9"/>
      <c r="V114" s="9"/>
      <c r="W114" s="9"/>
      <c r="X114" s="9"/>
      <c r="Y114" s="10"/>
      <c r="Z114" s="9"/>
      <c r="AA114" s="9"/>
      <c r="AB114" s="9"/>
      <c r="AC114" s="9"/>
      <c r="AD114" s="9"/>
      <c r="AE114" s="9"/>
      <c r="AF114" s="9"/>
      <c r="AG114" s="9"/>
      <c r="AH114" s="9"/>
      <c r="AI114" s="9"/>
      <c r="AJ114" s="9"/>
      <c r="AK114" s="9"/>
      <c r="AL114" s="9"/>
      <c r="AM114" s="9"/>
      <c r="AN114" s="9"/>
      <c r="AO114" s="9"/>
    </row>
    <row r="115" spans="1:41">
      <c r="A115" s="9"/>
      <c r="B115" s="9"/>
      <c r="C115" s="9"/>
      <c r="D115" s="9"/>
      <c r="E115" s="9"/>
      <c r="F115" s="9"/>
      <c r="G115" s="9"/>
      <c r="H115" s="9"/>
      <c r="I115" s="9"/>
      <c r="J115" s="9"/>
      <c r="K115" s="9"/>
      <c r="L115" s="9"/>
      <c r="M115" s="9"/>
      <c r="N115" s="9"/>
      <c r="O115" s="9"/>
      <c r="P115" s="9"/>
      <c r="Q115" s="9"/>
      <c r="R115" s="9"/>
      <c r="S115" s="9"/>
      <c r="T115" s="9"/>
      <c r="U115" s="9"/>
      <c r="V115" s="9"/>
      <c r="W115" s="9"/>
      <c r="X115" s="9"/>
      <c r="Y115" s="10"/>
      <c r="Z115" s="9"/>
      <c r="AA115" s="9"/>
      <c r="AB115" s="9"/>
      <c r="AC115" s="9"/>
      <c r="AD115" s="9"/>
      <c r="AE115" s="9"/>
      <c r="AF115" s="9"/>
      <c r="AG115" s="9"/>
      <c r="AH115" s="9"/>
      <c r="AI115" s="9"/>
      <c r="AJ115" s="9"/>
      <c r="AK115" s="9"/>
      <c r="AL115" s="9"/>
      <c r="AM115" s="9"/>
      <c r="AN115" s="9"/>
      <c r="AO115" s="9"/>
    </row>
    <row r="116" spans="1:41">
      <c r="A116" s="9"/>
      <c r="B116" s="9"/>
      <c r="C116" s="9"/>
      <c r="D116" s="9"/>
      <c r="E116" s="9"/>
      <c r="F116" s="9"/>
      <c r="G116" s="9"/>
      <c r="H116" s="9"/>
      <c r="I116" s="9"/>
      <c r="J116" s="9"/>
      <c r="K116" s="9"/>
      <c r="L116" s="9"/>
      <c r="M116" s="9"/>
      <c r="N116" s="9"/>
      <c r="O116" s="9"/>
      <c r="P116" s="9"/>
      <c r="Q116" s="9"/>
      <c r="R116" s="9"/>
      <c r="S116" s="9"/>
      <c r="T116" s="9"/>
      <c r="U116" s="9"/>
      <c r="V116" s="9"/>
      <c r="W116" s="9"/>
      <c r="X116" s="9"/>
      <c r="Y116" s="10"/>
      <c r="Z116" s="9"/>
      <c r="AA116" s="9"/>
      <c r="AB116" s="9"/>
      <c r="AC116" s="9"/>
      <c r="AD116" s="9"/>
      <c r="AE116" s="9"/>
      <c r="AF116" s="9"/>
      <c r="AG116" s="9"/>
      <c r="AH116" s="9"/>
      <c r="AI116" s="9"/>
      <c r="AJ116" s="9"/>
      <c r="AK116" s="9"/>
      <c r="AL116" s="9"/>
      <c r="AM116" s="9"/>
      <c r="AN116" s="9"/>
      <c r="AO116" s="9"/>
    </row>
    <row r="117" spans="1:41">
      <c r="A117" s="9"/>
      <c r="B117" s="9"/>
      <c r="C117" s="9"/>
      <c r="D117" s="9"/>
      <c r="E117" s="9"/>
      <c r="F117" s="9"/>
      <c r="G117" s="9"/>
      <c r="H117" s="9"/>
      <c r="I117" s="9"/>
      <c r="J117" s="9"/>
      <c r="K117" s="9"/>
      <c r="L117" s="9"/>
      <c r="M117" s="9"/>
      <c r="N117" s="9"/>
      <c r="O117" s="9"/>
      <c r="P117" s="9"/>
      <c r="Q117" s="9"/>
      <c r="R117" s="9"/>
      <c r="S117" s="9"/>
      <c r="T117" s="9"/>
      <c r="U117" s="9"/>
      <c r="V117" s="9"/>
      <c r="W117" s="9"/>
      <c r="X117" s="9"/>
      <c r="Y117" s="10"/>
      <c r="Z117" s="9"/>
      <c r="AA117" s="9"/>
      <c r="AB117" s="9"/>
      <c r="AC117" s="9"/>
      <c r="AD117" s="9"/>
      <c r="AE117" s="9"/>
      <c r="AF117" s="9"/>
      <c r="AG117" s="9"/>
      <c r="AH117" s="9"/>
      <c r="AI117" s="9"/>
      <c r="AJ117" s="9"/>
      <c r="AK117" s="9"/>
      <c r="AL117" s="9"/>
      <c r="AM117" s="9"/>
      <c r="AN117" s="9"/>
      <c r="AO117" s="9"/>
    </row>
    <row r="118" spans="1:41">
      <c r="A118" s="9"/>
      <c r="B118" s="9"/>
      <c r="C118" s="9"/>
      <c r="D118" s="9"/>
      <c r="E118" s="9"/>
      <c r="F118" s="9"/>
      <c r="G118" s="9"/>
      <c r="H118" s="9"/>
      <c r="I118" s="9"/>
      <c r="J118" s="9"/>
      <c r="K118" s="9"/>
      <c r="L118" s="9"/>
      <c r="M118" s="9"/>
      <c r="N118" s="9"/>
      <c r="O118" s="9"/>
      <c r="P118" s="9"/>
      <c r="Q118" s="9"/>
      <c r="R118" s="9"/>
      <c r="S118" s="9"/>
      <c r="T118" s="9"/>
      <c r="U118" s="9"/>
      <c r="V118" s="9"/>
      <c r="W118" s="9"/>
      <c r="X118" s="9"/>
      <c r="Y118" s="10"/>
      <c r="Z118" s="9"/>
      <c r="AA118" s="9"/>
      <c r="AB118" s="9"/>
      <c r="AC118" s="9"/>
      <c r="AD118" s="9"/>
      <c r="AE118" s="9"/>
      <c r="AF118" s="9"/>
      <c r="AG118" s="9"/>
      <c r="AH118" s="9"/>
      <c r="AI118" s="9"/>
      <c r="AJ118" s="9"/>
      <c r="AK118" s="9"/>
      <c r="AL118" s="9"/>
      <c r="AM118" s="9"/>
      <c r="AN118" s="9"/>
      <c r="AO118" s="9"/>
    </row>
    <row r="119" spans="1:41">
      <c r="A119" s="9"/>
      <c r="B119" s="9"/>
      <c r="C119" s="9"/>
      <c r="D119" s="9"/>
      <c r="E119" s="9"/>
      <c r="F119" s="9"/>
      <c r="G119" s="9"/>
      <c r="H119" s="9"/>
      <c r="I119" s="9"/>
      <c r="J119" s="9"/>
      <c r="K119" s="9"/>
      <c r="L119" s="9"/>
      <c r="M119" s="9"/>
      <c r="N119" s="9"/>
      <c r="O119" s="9"/>
      <c r="P119" s="9"/>
      <c r="Q119" s="9"/>
      <c r="R119" s="9"/>
      <c r="S119" s="9"/>
      <c r="T119" s="9"/>
      <c r="U119" s="9"/>
      <c r="V119" s="9"/>
      <c r="W119" s="9"/>
      <c r="X119" s="9"/>
      <c r="Y119" s="10"/>
      <c r="Z119" s="9"/>
      <c r="AA119" s="9"/>
      <c r="AB119" s="9"/>
      <c r="AC119" s="9"/>
      <c r="AD119" s="9"/>
      <c r="AE119" s="9"/>
      <c r="AF119" s="9"/>
      <c r="AG119" s="9"/>
      <c r="AH119" s="9"/>
      <c r="AI119" s="9"/>
      <c r="AJ119" s="9"/>
      <c r="AK119" s="9"/>
      <c r="AL119" s="9"/>
      <c r="AM119" s="9"/>
      <c r="AN119" s="9"/>
      <c r="AO119" s="9"/>
    </row>
    <row r="120" spans="1:41">
      <c r="A120" s="9"/>
      <c r="B120" s="9"/>
      <c r="C120" s="9"/>
      <c r="D120" s="9"/>
      <c r="E120" s="9"/>
      <c r="F120" s="9"/>
      <c r="G120" s="9"/>
      <c r="H120" s="9"/>
      <c r="I120" s="9"/>
      <c r="J120" s="9"/>
      <c r="K120" s="9"/>
      <c r="L120" s="9"/>
      <c r="M120" s="9"/>
      <c r="N120" s="9"/>
      <c r="O120" s="9"/>
      <c r="P120" s="9"/>
      <c r="Q120" s="9"/>
      <c r="R120" s="9"/>
      <c r="S120" s="9"/>
      <c r="T120" s="9"/>
      <c r="U120" s="9"/>
      <c r="V120" s="9"/>
      <c r="W120" s="9"/>
      <c r="X120" s="9"/>
      <c r="Y120" s="10"/>
      <c r="Z120" s="9"/>
      <c r="AA120" s="9"/>
      <c r="AB120" s="9"/>
      <c r="AC120" s="9"/>
      <c r="AD120" s="9"/>
      <c r="AE120" s="9"/>
      <c r="AF120" s="9"/>
      <c r="AG120" s="9"/>
      <c r="AH120" s="9"/>
      <c r="AI120" s="9"/>
      <c r="AJ120" s="9"/>
      <c r="AK120" s="9"/>
      <c r="AL120" s="9"/>
      <c r="AM120" s="9"/>
      <c r="AN120" s="9"/>
      <c r="AO120" s="9"/>
    </row>
    <row r="121" spans="1:41">
      <c r="A121" s="9"/>
      <c r="B121" s="9"/>
      <c r="C121" s="9"/>
      <c r="D121" s="9"/>
      <c r="E121" s="9"/>
      <c r="F121" s="9"/>
      <c r="G121" s="9"/>
      <c r="H121" s="9"/>
      <c r="I121" s="9"/>
      <c r="J121" s="9"/>
      <c r="K121" s="9"/>
      <c r="L121" s="9"/>
      <c r="M121" s="9"/>
      <c r="N121" s="9"/>
      <c r="O121" s="9"/>
      <c r="P121" s="9"/>
      <c r="Q121" s="9"/>
      <c r="R121" s="9"/>
      <c r="S121" s="9"/>
      <c r="T121" s="9"/>
      <c r="U121" s="9"/>
      <c r="V121" s="9"/>
      <c r="W121" s="9"/>
      <c r="X121" s="9"/>
      <c r="Y121" s="10"/>
      <c r="Z121" s="9"/>
      <c r="AA121" s="9"/>
      <c r="AB121" s="9"/>
      <c r="AC121" s="9"/>
      <c r="AD121" s="9"/>
      <c r="AE121" s="9"/>
      <c r="AF121" s="9"/>
      <c r="AG121" s="9"/>
      <c r="AH121" s="9"/>
      <c r="AI121" s="9"/>
      <c r="AJ121" s="9"/>
      <c r="AK121" s="9"/>
      <c r="AL121" s="9"/>
      <c r="AM121" s="9"/>
      <c r="AN121" s="9"/>
      <c r="AO121" s="9"/>
    </row>
    <row r="122" spans="1:41">
      <c r="A122" s="9"/>
      <c r="B122" s="9"/>
      <c r="C122" s="9"/>
      <c r="D122" s="9"/>
      <c r="E122" s="9"/>
      <c r="F122" s="9"/>
      <c r="G122" s="9"/>
      <c r="H122" s="9"/>
      <c r="I122" s="9"/>
      <c r="J122" s="9"/>
      <c r="K122" s="9"/>
      <c r="L122" s="9"/>
      <c r="M122" s="9"/>
      <c r="N122" s="9"/>
      <c r="O122" s="9"/>
      <c r="P122" s="9"/>
      <c r="Q122" s="9"/>
      <c r="R122" s="9"/>
      <c r="S122" s="9"/>
      <c r="T122" s="9"/>
      <c r="U122" s="9"/>
      <c r="V122" s="9"/>
      <c r="W122" s="9"/>
      <c r="X122" s="9"/>
      <c r="Y122" s="10"/>
      <c r="Z122" s="9"/>
      <c r="AA122" s="9"/>
      <c r="AB122" s="9"/>
      <c r="AC122" s="9"/>
      <c r="AD122" s="9"/>
      <c r="AE122" s="9"/>
      <c r="AF122" s="9"/>
      <c r="AG122" s="9"/>
      <c r="AH122" s="9"/>
      <c r="AI122" s="9"/>
      <c r="AJ122" s="9"/>
      <c r="AK122" s="9"/>
      <c r="AL122" s="9"/>
      <c r="AM122" s="9"/>
      <c r="AN122" s="9"/>
      <c r="AO122" s="9"/>
    </row>
    <row r="123" spans="1:41">
      <c r="A123" s="9"/>
      <c r="B123" s="9"/>
      <c r="C123" s="9"/>
      <c r="D123" s="9"/>
      <c r="E123" s="9"/>
      <c r="F123" s="9"/>
      <c r="G123" s="9"/>
      <c r="H123" s="9"/>
      <c r="I123" s="9"/>
      <c r="J123" s="9"/>
      <c r="K123" s="9"/>
      <c r="L123" s="9"/>
      <c r="M123" s="9"/>
      <c r="N123" s="9"/>
      <c r="O123" s="9"/>
      <c r="P123" s="9"/>
      <c r="Q123" s="9"/>
      <c r="R123" s="9"/>
      <c r="S123" s="9"/>
      <c r="T123" s="9"/>
      <c r="U123" s="9"/>
      <c r="V123" s="9"/>
      <c r="W123" s="9"/>
      <c r="X123" s="9"/>
      <c r="Y123" s="10"/>
      <c r="Z123" s="9"/>
      <c r="AA123" s="9"/>
      <c r="AB123" s="9"/>
      <c r="AC123" s="9"/>
      <c r="AD123" s="9"/>
      <c r="AE123" s="9"/>
      <c r="AF123" s="9"/>
      <c r="AG123" s="9"/>
      <c r="AH123" s="9"/>
      <c r="AI123" s="9"/>
      <c r="AJ123" s="9"/>
      <c r="AK123" s="9"/>
      <c r="AL123" s="9"/>
      <c r="AM123" s="9"/>
      <c r="AN123" s="9"/>
      <c r="AO123" s="9"/>
    </row>
    <row r="124" spans="1:41">
      <c r="A124" s="9"/>
      <c r="B124" s="9"/>
      <c r="C124" s="9"/>
      <c r="D124" s="9"/>
      <c r="E124" s="9"/>
      <c r="F124" s="9"/>
      <c r="G124" s="9"/>
      <c r="H124" s="9"/>
      <c r="I124" s="9"/>
      <c r="J124" s="9"/>
      <c r="K124" s="9"/>
      <c r="L124" s="9"/>
      <c r="M124" s="9"/>
      <c r="N124" s="9"/>
      <c r="O124" s="9"/>
      <c r="P124" s="9"/>
      <c r="Q124" s="9"/>
      <c r="R124" s="9"/>
      <c r="S124" s="9"/>
      <c r="T124" s="9"/>
      <c r="U124" s="9"/>
      <c r="V124" s="9"/>
      <c r="W124" s="9"/>
      <c r="X124" s="9"/>
      <c r="Y124" s="10"/>
      <c r="Z124" s="9"/>
      <c r="AA124" s="9"/>
      <c r="AB124" s="9"/>
      <c r="AC124" s="9"/>
      <c r="AD124" s="9"/>
      <c r="AE124" s="9"/>
      <c r="AF124" s="9"/>
      <c r="AG124" s="9"/>
      <c r="AH124" s="9"/>
      <c r="AI124" s="9"/>
      <c r="AJ124" s="9"/>
      <c r="AK124" s="9"/>
      <c r="AL124" s="9"/>
      <c r="AM124" s="9"/>
      <c r="AN124" s="9"/>
      <c r="AO124" s="9"/>
    </row>
    <row r="125" spans="1:41">
      <c r="A125" s="9"/>
      <c r="B125" s="9"/>
      <c r="C125" s="9"/>
      <c r="D125" s="9"/>
      <c r="E125" s="9"/>
      <c r="F125" s="9"/>
      <c r="G125" s="9"/>
      <c r="H125" s="9"/>
      <c r="I125" s="9"/>
      <c r="J125" s="9"/>
      <c r="K125" s="9"/>
      <c r="L125" s="9"/>
      <c r="M125" s="9"/>
      <c r="N125" s="9"/>
      <c r="O125" s="9"/>
      <c r="P125" s="9"/>
      <c r="Q125" s="9"/>
      <c r="R125" s="9"/>
      <c r="S125" s="9"/>
      <c r="T125" s="9"/>
      <c r="U125" s="9"/>
      <c r="V125" s="9"/>
      <c r="W125" s="9"/>
      <c r="X125" s="9"/>
      <c r="Y125" s="10"/>
      <c r="Z125" s="9"/>
      <c r="AA125" s="9"/>
      <c r="AB125" s="9"/>
      <c r="AC125" s="9"/>
      <c r="AD125" s="9"/>
      <c r="AE125" s="9"/>
      <c r="AF125" s="9"/>
      <c r="AG125" s="9"/>
      <c r="AH125" s="9"/>
      <c r="AI125" s="9"/>
      <c r="AJ125" s="9"/>
      <c r="AK125" s="9"/>
      <c r="AL125" s="9"/>
      <c r="AM125" s="9"/>
      <c r="AN125" s="9"/>
      <c r="AO125" s="9"/>
    </row>
    <row r="126" spans="1:41">
      <c r="A126" s="9"/>
      <c r="B126" s="9"/>
      <c r="C126" s="9"/>
      <c r="D126" s="9"/>
      <c r="E126" s="9"/>
      <c r="F126" s="9"/>
      <c r="G126" s="9"/>
      <c r="H126" s="9"/>
      <c r="I126" s="9"/>
      <c r="J126" s="9"/>
      <c r="K126" s="9"/>
      <c r="L126" s="9"/>
      <c r="M126" s="9"/>
      <c r="N126" s="9"/>
      <c r="O126" s="9"/>
      <c r="P126" s="9"/>
      <c r="Q126" s="9"/>
      <c r="R126" s="9"/>
      <c r="S126" s="9"/>
      <c r="T126" s="9"/>
      <c r="U126" s="9"/>
      <c r="V126" s="9"/>
      <c r="W126" s="9"/>
      <c r="X126" s="9"/>
      <c r="Y126" s="10"/>
      <c r="Z126" s="9"/>
      <c r="AA126" s="9"/>
      <c r="AB126" s="9"/>
      <c r="AC126" s="9"/>
      <c r="AD126" s="9"/>
      <c r="AE126" s="9"/>
      <c r="AF126" s="9"/>
      <c r="AG126" s="9"/>
      <c r="AH126" s="9"/>
      <c r="AI126" s="9"/>
      <c r="AJ126" s="9"/>
      <c r="AK126" s="9"/>
      <c r="AL126" s="9"/>
      <c r="AM126" s="9"/>
      <c r="AN126" s="9"/>
      <c r="AO126" s="9"/>
    </row>
    <row r="127" spans="1:41">
      <c r="A127" s="9"/>
      <c r="B127" s="9"/>
      <c r="C127" s="9"/>
      <c r="D127" s="9"/>
      <c r="E127" s="9"/>
      <c r="F127" s="9"/>
      <c r="G127" s="9"/>
      <c r="H127" s="9"/>
      <c r="I127" s="9"/>
      <c r="J127" s="9"/>
      <c r="K127" s="9"/>
      <c r="L127" s="9"/>
      <c r="M127" s="9"/>
      <c r="N127" s="9"/>
      <c r="O127" s="9"/>
      <c r="P127" s="9"/>
      <c r="Q127" s="9"/>
      <c r="R127" s="9"/>
      <c r="S127" s="9"/>
      <c r="T127" s="9"/>
      <c r="U127" s="9"/>
      <c r="V127" s="9"/>
      <c r="W127" s="9"/>
      <c r="X127" s="9"/>
      <c r="Y127" s="10"/>
      <c r="Z127" s="9"/>
      <c r="AA127" s="9"/>
      <c r="AB127" s="9"/>
      <c r="AC127" s="9"/>
      <c r="AD127" s="9"/>
      <c r="AE127" s="9"/>
      <c r="AF127" s="9"/>
      <c r="AG127" s="9"/>
      <c r="AH127" s="9"/>
      <c r="AI127" s="9"/>
      <c r="AJ127" s="9"/>
      <c r="AK127" s="9"/>
      <c r="AL127" s="9"/>
      <c r="AM127" s="9"/>
      <c r="AN127" s="9"/>
      <c r="AO127" s="9"/>
    </row>
    <row r="128" spans="1:41">
      <c r="A128" s="9"/>
      <c r="B128" s="9"/>
      <c r="C128" s="9"/>
      <c r="D128" s="9"/>
      <c r="E128" s="9"/>
      <c r="F128" s="9"/>
      <c r="G128" s="9"/>
      <c r="H128" s="9"/>
      <c r="I128" s="9"/>
      <c r="J128" s="9"/>
      <c r="K128" s="9"/>
      <c r="L128" s="9"/>
      <c r="M128" s="9"/>
      <c r="N128" s="9"/>
      <c r="O128" s="9"/>
      <c r="P128" s="9"/>
      <c r="Q128" s="9"/>
      <c r="R128" s="9"/>
      <c r="S128" s="9"/>
      <c r="T128" s="9"/>
      <c r="U128" s="9"/>
      <c r="V128" s="9"/>
      <c r="W128" s="9"/>
      <c r="X128" s="9"/>
      <c r="Y128" s="10"/>
      <c r="Z128" s="9"/>
      <c r="AA128" s="9"/>
      <c r="AB128" s="9"/>
      <c r="AC128" s="9"/>
      <c r="AD128" s="9"/>
      <c r="AE128" s="9"/>
      <c r="AF128" s="9"/>
      <c r="AG128" s="9"/>
      <c r="AH128" s="9"/>
      <c r="AI128" s="9"/>
      <c r="AJ128" s="9"/>
      <c r="AK128" s="9"/>
      <c r="AL128" s="9"/>
      <c r="AM128" s="9"/>
      <c r="AN128" s="9"/>
      <c r="AO128" s="9"/>
    </row>
    <row r="129" spans="1:41">
      <c r="A129" s="9"/>
      <c r="B129" s="9"/>
      <c r="C129" s="9"/>
      <c r="D129" s="9"/>
      <c r="E129" s="9"/>
      <c r="F129" s="9"/>
      <c r="G129" s="9"/>
      <c r="H129" s="9"/>
      <c r="I129" s="9"/>
      <c r="J129" s="9"/>
      <c r="K129" s="9"/>
      <c r="L129" s="9"/>
      <c r="M129" s="9"/>
      <c r="N129" s="9"/>
      <c r="O129" s="9"/>
      <c r="P129" s="9"/>
      <c r="Q129" s="9"/>
      <c r="R129" s="9"/>
      <c r="S129" s="9"/>
      <c r="T129" s="9"/>
      <c r="U129" s="9"/>
      <c r="V129" s="9"/>
      <c r="W129" s="9"/>
      <c r="X129" s="9"/>
      <c r="Y129" s="10"/>
      <c r="Z129" s="9"/>
      <c r="AA129" s="9"/>
      <c r="AB129" s="9"/>
      <c r="AC129" s="9"/>
      <c r="AD129" s="9"/>
      <c r="AE129" s="9"/>
      <c r="AF129" s="9"/>
      <c r="AG129" s="9"/>
      <c r="AH129" s="9"/>
      <c r="AI129" s="9"/>
      <c r="AJ129" s="9"/>
      <c r="AK129" s="9"/>
      <c r="AL129" s="9"/>
      <c r="AM129" s="9"/>
      <c r="AN129" s="9"/>
      <c r="AO129" s="9"/>
    </row>
    <row r="130" spans="1:41">
      <c r="A130" s="9"/>
      <c r="B130" s="9"/>
      <c r="C130" s="9"/>
      <c r="D130" s="9"/>
      <c r="E130" s="9"/>
      <c r="F130" s="9"/>
      <c r="G130" s="9"/>
      <c r="H130" s="9"/>
      <c r="I130" s="9"/>
      <c r="J130" s="9"/>
      <c r="K130" s="9"/>
      <c r="L130" s="9"/>
      <c r="M130" s="9"/>
      <c r="N130" s="9"/>
      <c r="O130" s="9"/>
      <c r="P130" s="9"/>
      <c r="Q130" s="9"/>
      <c r="R130" s="9"/>
      <c r="S130" s="9"/>
      <c r="T130" s="9"/>
      <c r="U130" s="9"/>
      <c r="V130" s="9"/>
      <c r="W130" s="9"/>
      <c r="X130" s="9"/>
      <c r="Y130" s="10"/>
      <c r="Z130" s="9"/>
      <c r="AA130" s="9"/>
      <c r="AB130" s="9"/>
      <c r="AC130" s="9"/>
      <c r="AD130" s="9"/>
      <c r="AE130" s="9"/>
      <c r="AF130" s="9"/>
      <c r="AG130" s="9"/>
      <c r="AH130" s="9"/>
      <c r="AI130" s="9"/>
      <c r="AJ130" s="9"/>
      <c r="AK130" s="9"/>
      <c r="AL130" s="9"/>
      <c r="AM130" s="9"/>
      <c r="AN130" s="9"/>
      <c r="AO130" s="9"/>
    </row>
    <row r="131" spans="1:41">
      <c r="A131" s="9"/>
      <c r="B131" s="9"/>
      <c r="C131" s="9"/>
      <c r="D131" s="9"/>
      <c r="E131" s="9"/>
      <c r="F131" s="9"/>
      <c r="G131" s="9"/>
      <c r="H131" s="9"/>
      <c r="I131" s="9"/>
      <c r="J131" s="9"/>
      <c r="K131" s="9"/>
      <c r="L131" s="9"/>
      <c r="M131" s="9"/>
      <c r="N131" s="9"/>
      <c r="O131" s="9"/>
      <c r="P131" s="9"/>
      <c r="Q131" s="9"/>
      <c r="R131" s="9"/>
      <c r="S131" s="9"/>
      <c r="T131" s="9"/>
      <c r="U131" s="9"/>
      <c r="V131" s="9"/>
      <c r="W131" s="9"/>
      <c r="X131" s="9"/>
      <c r="Y131" s="10"/>
      <c r="Z131" s="9"/>
      <c r="AA131" s="9"/>
      <c r="AB131" s="9"/>
      <c r="AC131" s="9"/>
      <c r="AD131" s="9"/>
      <c r="AE131" s="9"/>
      <c r="AF131" s="9"/>
      <c r="AG131" s="9"/>
      <c r="AH131" s="9"/>
      <c r="AI131" s="9"/>
      <c r="AJ131" s="9"/>
      <c r="AK131" s="9"/>
      <c r="AL131" s="9"/>
      <c r="AM131" s="9"/>
      <c r="AN131" s="9"/>
      <c r="AO131" s="9"/>
    </row>
    <row r="132" spans="1:41">
      <c r="A132" s="9"/>
      <c r="B132" s="9"/>
      <c r="C132" s="9"/>
      <c r="D132" s="9"/>
      <c r="E132" s="9"/>
      <c r="F132" s="9"/>
      <c r="G132" s="9"/>
      <c r="H132" s="9"/>
      <c r="I132" s="9"/>
      <c r="J132" s="9"/>
      <c r="K132" s="9"/>
      <c r="L132" s="9"/>
      <c r="M132" s="9"/>
      <c r="N132" s="9"/>
      <c r="O132" s="9"/>
      <c r="P132" s="9"/>
      <c r="Q132" s="9"/>
      <c r="R132" s="9"/>
      <c r="S132" s="9"/>
      <c r="T132" s="9"/>
      <c r="U132" s="9"/>
      <c r="V132" s="9"/>
      <c r="W132" s="9"/>
      <c r="X132" s="9"/>
      <c r="Y132" s="10"/>
      <c r="Z132" s="9"/>
      <c r="AA132" s="9"/>
      <c r="AB132" s="9"/>
      <c r="AC132" s="9"/>
      <c r="AD132" s="9"/>
      <c r="AE132" s="9"/>
      <c r="AF132" s="9"/>
      <c r="AG132" s="9"/>
      <c r="AH132" s="9"/>
      <c r="AI132" s="9"/>
      <c r="AJ132" s="9"/>
      <c r="AK132" s="9"/>
      <c r="AL132" s="9"/>
      <c r="AM132" s="9"/>
      <c r="AN132" s="9"/>
      <c r="AO132" s="9"/>
    </row>
    <row r="133" spans="1:41">
      <c r="A133" s="9"/>
      <c r="B133" s="9"/>
      <c r="C133" s="9"/>
      <c r="D133" s="9"/>
      <c r="E133" s="9"/>
      <c r="F133" s="9"/>
      <c r="G133" s="9"/>
      <c r="H133" s="9"/>
      <c r="I133" s="9"/>
      <c r="J133" s="9"/>
      <c r="K133" s="9"/>
      <c r="L133" s="9"/>
      <c r="M133" s="9"/>
      <c r="N133" s="9"/>
      <c r="O133" s="9"/>
      <c r="P133" s="9"/>
      <c r="Q133" s="9"/>
      <c r="R133" s="9"/>
      <c r="S133" s="9"/>
      <c r="T133" s="9"/>
      <c r="U133" s="9"/>
      <c r="V133" s="9"/>
      <c r="W133" s="9"/>
      <c r="X133" s="9"/>
      <c r="Y133" s="10"/>
      <c r="Z133" s="9"/>
      <c r="AA133" s="9"/>
      <c r="AB133" s="9"/>
      <c r="AC133" s="9"/>
      <c r="AD133" s="9"/>
      <c r="AE133" s="9"/>
      <c r="AF133" s="9"/>
      <c r="AG133" s="9"/>
      <c r="AH133" s="9"/>
      <c r="AI133" s="9"/>
      <c r="AJ133" s="9"/>
      <c r="AK133" s="9"/>
      <c r="AL133" s="9"/>
      <c r="AM133" s="9"/>
      <c r="AN133" s="9"/>
      <c r="AO133" s="9"/>
    </row>
    <row r="134" spans="1:41">
      <c r="A134" s="9"/>
      <c r="B134" s="9"/>
      <c r="C134" s="9"/>
      <c r="D134" s="9"/>
      <c r="E134" s="9"/>
      <c r="F134" s="9"/>
      <c r="G134" s="9"/>
      <c r="H134" s="9"/>
      <c r="I134" s="9"/>
      <c r="J134" s="9"/>
      <c r="K134" s="9"/>
      <c r="L134" s="9"/>
      <c r="M134" s="9"/>
      <c r="N134" s="9"/>
      <c r="O134" s="9"/>
      <c r="P134" s="9"/>
      <c r="Q134" s="9"/>
      <c r="R134" s="9"/>
      <c r="S134" s="9"/>
      <c r="T134" s="9"/>
      <c r="U134" s="9"/>
      <c r="V134" s="9"/>
      <c r="W134" s="9"/>
      <c r="X134" s="9"/>
      <c r="Y134" s="10"/>
      <c r="Z134" s="9"/>
      <c r="AA134" s="9"/>
      <c r="AB134" s="9"/>
      <c r="AC134" s="9"/>
      <c r="AD134" s="9"/>
      <c r="AE134" s="9"/>
      <c r="AF134" s="9"/>
      <c r="AG134" s="9"/>
      <c r="AH134" s="9"/>
      <c r="AI134" s="9"/>
      <c r="AJ134" s="9"/>
      <c r="AK134" s="9"/>
      <c r="AL134" s="9"/>
      <c r="AM134" s="9"/>
      <c r="AN134" s="9"/>
      <c r="AO134" s="9"/>
    </row>
    <row r="135" spans="1:41">
      <c r="A135" s="9"/>
      <c r="B135" s="9"/>
      <c r="C135" s="9"/>
      <c r="D135" s="9"/>
      <c r="E135" s="9"/>
      <c r="F135" s="9"/>
      <c r="G135" s="9"/>
      <c r="H135" s="9"/>
      <c r="I135" s="9"/>
      <c r="J135" s="9"/>
      <c r="K135" s="9"/>
      <c r="L135" s="9"/>
      <c r="M135" s="9"/>
      <c r="N135" s="9"/>
      <c r="O135" s="9"/>
      <c r="P135" s="9"/>
      <c r="Q135" s="9"/>
      <c r="R135" s="9"/>
      <c r="S135" s="9"/>
      <c r="T135" s="9"/>
      <c r="U135" s="9"/>
      <c r="V135" s="9"/>
      <c r="W135" s="9"/>
      <c r="X135" s="9"/>
      <c r="Y135" s="10"/>
      <c r="Z135" s="9"/>
      <c r="AA135" s="9"/>
      <c r="AB135" s="9"/>
      <c r="AC135" s="9"/>
      <c r="AD135" s="9"/>
      <c r="AE135" s="9"/>
      <c r="AF135" s="9"/>
      <c r="AG135" s="9"/>
      <c r="AH135" s="9"/>
      <c r="AI135" s="9"/>
      <c r="AJ135" s="9"/>
      <c r="AK135" s="9"/>
      <c r="AL135" s="9"/>
      <c r="AM135" s="9"/>
      <c r="AN135" s="9"/>
      <c r="AO135" s="9"/>
    </row>
    <row r="136" spans="1:41">
      <c r="A136" s="9"/>
      <c r="B136" s="9"/>
      <c r="C136" s="9"/>
      <c r="D136" s="9"/>
      <c r="E136" s="9"/>
      <c r="F136" s="9"/>
      <c r="G136" s="9"/>
      <c r="H136" s="9"/>
      <c r="I136" s="9"/>
      <c r="J136" s="9"/>
      <c r="K136" s="9"/>
      <c r="L136" s="9"/>
      <c r="M136" s="9"/>
      <c r="N136" s="9"/>
      <c r="O136" s="9"/>
      <c r="P136" s="9"/>
      <c r="Q136" s="9"/>
      <c r="R136" s="9"/>
      <c r="S136" s="9"/>
      <c r="T136" s="9"/>
      <c r="U136" s="9"/>
      <c r="V136" s="9"/>
      <c r="W136" s="9"/>
      <c r="X136" s="9"/>
      <c r="Y136" s="10"/>
      <c r="Z136" s="9"/>
      <c r="AA136" s="9"/>
      <c r="AB136" s="9"/>
      <c r="AC136" s="9"/>
      <c r="AD136" s="9"/>
      <c r="AE136" s="9"/>
      <c r="AF136" s="9"/>
      <c r="AG136" s="9"/>
      <c r="AH136" s="9"/>
      <c r="AI136" s="9"/>
      <c r="AJ136" s="9"/>
      <c r="AK136" s="9"/>
      <c r="AL136" s="9"/>
      <c r="AM136" s="9"/>
      <c r="AN136" s="9"/>
      <c r="AO136" s="9"/>
    </row>
    <row r="137" spans="1:41">
      <c r="A137" s="9"/>
      <c r="B137" s="9"/>
      <c r="C137" s="9"/>
      <c r="D137" s="9"/>
      <c r="E137" s="9"/>
      <c r="F137" s="9"/>
      <c r="G137" s="9"/>
      <c r="H137" s="9"/>
      <c r="I137" s="9"/>
      <c r="J137" s="9"/>
      <c r="K137" s="9"/>
      <c r="L137" s="9"/>
      <c r="M137" s="9"/>
      <c r="N137" s="9"/>
      <c r="O137" s="9"/>
      <c r="P137" s="9"/>
      <c r="Q137" s="9"/>
      <c r="R137" s="9"/>
      <c r="S137" s="9"/>
      <c r="T137" s="9"/>
      <c r="U137" s="9"/>
      <c r="V137" s="9"/>
      <c r="W137" s="9"/>
      <c r="X137" s="9"/>
      <c r="Y137" s="10"/>
      <c r="Z137" s="9"/>
      <c r="AA137" s="9"/>
      <c r="AB137" s="9"/>
      <c r="AC137" s="9"/>
      <c r="AD137" s="9"/>
      <c r="AE137" s="9"/>
      <c r="AF137" s="9"/>
      <c r="AG137" s="9"/>
      <c r="AH137" s="9"/>
      <c r="AI137" s="9"/>
      <c r="AJ137" s="9"/>
      <c r="AK137" s="9"/>
      <c r="AL137" s="9"/>
      <c r="AM137" s="9"/>
      <c r="AN137" s="9"/>
      <c r="AO137" s="9"/>
    </row>
    <row r="138" spans="1:41">
      <c r="A138" s="9"/>
      <c r="B138" s="9"/>
      <c r="C138" s="9"/>
      <c r="D138" s="9"/>
      <c r="E138" s="9"/>
      <c r="F138" s="9"/>
      <c r="G138" s="9"/>
      <c r="H138" s="9"/>
      <c r="I138" s="9"/>
      <c r="J138" s="9"/>
      <c r="K138" s="9"/>
      <c r="L138" s="9"/>
      <c r="M138" s="9"/>
      <c r="N138" s="9"/>
      <c r="O138" s="9"/>
      <c r="P138" s="9"/>
      <c r="Q138" s="9"/>
      <c r="R138" s="9"/>
      <c r="S138" s="9"/>
      <c r="T138" s="9"/>
      <c r="U138" s="9"/>
      <c r="V138" s="9"/>
      <c r="W138" s="9"/>
      <c r="X138" s="9"/>
      <c r="Y138" s="10"/>
      <c r="Z138" s="9"/>
      <c r="AA138" s="9"/>
      <c r="AB138" s="9"/>
      <c r="AC138" s="9"/>
      <c r="AD138" s="9"/>
      <c r="AE138" s="9"/>
      <c r="AF138" s="9"/>
      <c r="AG138" s="9"/>
      <c r="AH138" s="9"/>
      <c r="AI138" s="9"/>
      <c r="AJ138" s="9"/>
      <c r="AK138" s="9"/>
      <c r="AL138" s="9"/>
      <c r="AM138" s="9"/>
      <c r="AN138" s="9"/>
      <c r="AO138" s="9"/>
    </row>
    <row r="139" spans="1:41">
      <c r="A139" s="9"/>
      <c r="B139" s="9"/>
      <c r="C139" s="9"/>
      <c r="D139" s="9"/>
      <c r="E139" s="9"/>
      <c r="F139" s="9"/>
      <c r="G139" s="9"/>
      <c r="H139" s="9"/>
      <c r="I139" s="9"/>
      <c r="J139" s="9"/>
      <c r="K139" s="9"/>
      <c r="L139" s="9"/>
      <c r="M139" s="9"/>
      <c r="N139" s="9"/>
      <c r="O139" s="9"/>
      <c r="P139" s="9"/>
      <c r="Q139" s="9"/>
      <c r="R139" s="9"/>
      <c r="S139" s="9"/>
      <c r="T139" s="9"/>
      <c r="U139" s="9"/>
      <c r="V139" s="9"/>
      <c r="W139" s="9"/>
      <c r="X139" s="9"/>
      <c r="Y139" s="10"/>
      <c r="Z139" s="9"/>
      <c r="AA139" s="9"/>
      <c r="AB139" s="9"/>
      <c r="AC139" s="9"/>
      <c r="AD139" s="9"/>
      <c r="AE139" s="9"/>
      <c r="AF139" s="9"/>
      <c r="AG139" s="9"/>
      <c r="AH139" s="9"/>
      <c r="AI139" s="9"/>
      <c r="AJ139" s="9"/>
      <c r="AK139" s="9"/>
      <c r="AL139" s="9"/>
      <c r="AM139" s="9"/>
      <c r="AN139" s="9"/>
      <c r="AO139" s="9"/>
    </row>
    <row r="140" spans="1:41">
      <c r="A140" s="9"/>
      <c r="B140" s="9"/>
      <c r="C140" s="9"/>
      <c r="D140" s="9"/>
      <c r="E140" s="9"/>
      <c r="F140" s="9"/>
      <c r="G140" s="9"/>
      <c r="H140" s="9"/>
      <c r="I140" s="9"/>
      <c r="J140" s="9"/>
      <c r="K140" s="9"/>
      <c r="L140" s="9"/>
      <c r="M140" s="9"/>
      <c r="N140" s="9"/>
      <c r="O140" s="9"/>
      <c r="P140" s="9"/>
      <c r="Q140" s="9"/>
      <c r="R140" s="9"/>
      <c r="S140" s="9"/>
      <c r="T140" s="9"/>
      <c r="U140" s="9"/>
      <c r="V140" s="9"/>
      <c r="W140" s="9"/>
      <c r="X140" s="9"/>
      <c r="Y140" s="10"/>
      <c r="Z140" s="9"/>
      <c r="AA140" s="9"/>
      <c r="AB140" s="9"/>
      <c r="AC140" s="9"/>
      <c r="AD140" s="9"/>
      <c r="AE140" s="9"/>
      <c r="AF140" s="9"/>
      <c r="AG140" s="9"/>
      <c r="AH140" s="9"/>
      <c r="AI140" s="9"/>
      <c r="AJ140" s="9"/>
      <c r="AK140" s="9"/>
      <c r="AL140" s="9"/>
      <c r="AM140" s="9"/>
      <c r="AN140" s="9"/>
      <c r="AO140" s="9"/>
    </row>
    <row r="141" spans="1:41">
      <c r="A141" s="9"/>
      <c r="B141" s="9"/>
      <c r="C141" s="9"/>
      <c r="D141" s="9"/>
      <c r="E141" s="9"/>
      <c r="F141" s="9"/>
      <c r="G141" s="9"/>
      <c r="H141" s="9"/>
      <c r="I141" s="9"/>
      <c r="J141" s="9"/>
      <c r="K141" s="9"/>
      <c r="L141" s="9"/>
      <c r="M141" s="9"/>
      <c r="N141" s="9"/>
      <c r="O141" s="9"/>
      <c r="P141" s="9"/>
      <c r="Q141" s="9"/>
      <c r="R141" s="9"/>
      <c r="S141" s="9"/>
      <c r="T141" s="9"/>
      <c r="U141" s="9"/>
      <c r="V141" s="9"/>
      <c r="W141" s="9"/>
      <c r="X141" s="9"/>
      <c r="Y141" s="10"/>
      <c r="Z141" s="9"/>
      <c r="AA141" s="9"/>
      <c r="AB141" s="9"/>
      <c r="AC141" s="9"/>
      <c r="AD141" s="9"/>
      <c r="AE141" s="9"/>
      <c r="AF141" s="9"/>
      <c r="AG141" s="9"/>
      <c r="AH141" s="9"/>
      <c r="AI141" s="9"/>
      <c r="AJ141" s="9"/>
      <c r="AK141" s="9"/>
      <c r="AL141" s="9"/>
      <c r="AM141" s="9"/>
      <c r="AN141" s="9"/>
      <c r="AO141" s="9"/>
    </row>
    <row r="142" spans="1:41">
      <c r="A142" s="9"/>
      <c r="B142" s="9"/>
      <c r="C142" s="9"/>
      <c r="D142" s="9"/>
      <c r="E142" s="9"/>
      <c r="F142" s="9"/>
      <c r="G142" s="9"/>
      <c r="H142" s="9"/>
      <c r="I142" s="9"/>
      <c r="J142" s="9"/>
      <c r="K142" s="9"/>
      <c r="L142" s="9"/>
      <c r="M142" s="9"/>
      <c r="N142" s="9"/>
      <c r="O142" s="9"/>
      <c r="P142" s="9"/>
      <c r="Q142" s="9"/>
      <c r="R142" s="9"/>
      <c r="S142" s="9"/>
      <c r="T142" s="9"/>
      <c r="U142" s="9"/>
      <c r="V142" s="9"/>
      <c r="W142" s="9"/>
      <c r="X142" s="9"/>
      <c r="Y142" s="10"/>
      <c r="Z142" s="9"/>
      <c r="AA142" s="9"/>
      <c r="AB142" s="9"/>
      <c r="AC142" s="9"/>
      <c r="AD142" s="9"/>
      <c r="AE142" s="9"/>
      <c r="AF142" s="9"/>
      <c r="AG142" s="9"/>
      <c r="AH142" s="9"/>
      <c r="AI142" s="9"/>
      <c r="AJ142" s="9"/>
      <c r="AK142" s="9"/>
      <c r="AL142" s="9"/>
      <c r="AM142" s="9"/>
      <c r="AN142" s="9"/>
      <c r="AO142" s="9"/>
    </row>
    <row r="143" spans="1:41">
      <c r="A143" s="9"/>
      <c r="B143" s="9"/>
      <c r="C143" s="9"/>
      <c r="D143" s="9"/>
      <c r="E143" s="9"/>
      <c r="F143" s="9"/>
      <c r="G143" s="9"/>
      <c r="H143" s="9"/>
      <c r="I143" s="9"/>
      <c r="J143" s="9"/>
      <c r="K143" s="9"/>
      <c r="L143" s="9"/>
      <c r="M143" s="9"/>
      <c r="N143" s="9"/>
      <c r="O143" s="9"/>
      <c r="P143" s="9"/>
      <c r="Q143" s="9"/>
      <c r="R143" s="9"/>
      <c r="S143" s="9"/>
      <c r="T143" s="9"/>
      <c r="U143" s="9"/>
      <c r="V143" s="9"/>
      <c r="W143" s="9"/>
      <c r="X143" s="9"/>
      <c r="Y143" s="10"/>
      <c r="Z143" s="9"/>
      <c r="AA143" s="9"/>
      <c r="AB143" s="9"/>
      <c r="AC143" s="9"/>
      <c r="AD143" s="9"/>
      <c r="AE143" s="9"/>
      <c r="AF143" s="9"/>
      <c r="AG143" s="9"/>
      <c r="AH143" s="9"/>
      <c r="AI143" s="9"/>
      <c r="AJ143" s="9"/>
      <c r="AK143" s="9"/>
      <c r="AL143" s="9"/>
      <c r="AM143" s="9"/>
      <c r="AN143" s="9"/>
      <c r="AO143" s="9"/>
    </row>
    <row r="144" spans="1:41">
      <c r="A144" s="9"/>
      <c r="B144" s="9"/>
      <c r="C144" s="9"/>
      <c r="D144" s="9"/>
      <c r="E144" s="9"/>
      <c r="F144" s="9"/>
      <c r="G144" s="9"/>
      <c r="H144" s="9"/>
      <c r="I144" s="9"/>
      <c r="J144" s="9"/>
      <c r="K144" s="9"/>
      <c r="L144" s="9"/>
      <c r="M144" s="9"/>
      <c r="N144" s="9"/>
      <c r="O144" s="9"/>
      <c r="P144" s="9"/>
      <c r="Q144" s="9"/>
      <c r="R144" s="9"/>
      <c r="S144" s="9"/>
      <c r="T144" s="9"/>
      <c r="U144" s="9"/>
      <c r="V144" s="9"/>
      <c r="W144" s="9"/>
      <c r="X144" s="9"/>
      <c r="Y144" s="10"/>
      <c r="Z144" s="9"/>
      <c r="AA144" s="9"/>
      <c r="AB144" s="9"/>
      <c r="AC144" s="9"/>
      <c r="AD144" s="9"/>
      <c r="AE144" s="9"/>
      <c r="AF144" s="9"/>
      <c r="AG144" s="9"/>
      <c r="AH144" s="9"/>
      <c r="AI144" s="9"/>
      <c r="AJ144" s="9"/>
      <c r="AK144" s="9"/>
      <c r="AL144" s="9"/>
      <c r="AM144" s="9"/>
      <c r="AN144" s="9"/>
      <c r="AO144" s="9"/>
    </row>
    <row r="145" spans="1:41">
      <c r="A145" s="9"/>
      <c r="B145" s="9"/>
      <c r="C145" s="9"/>
      <c r="D145" s="9"/>
      <c r="E145" s="9"/>
      <c r="F145" s="9"/>
      <c r="G145" s="9"/>
      <c r="H145" s="9"/>
      <c r="I145" s="9"/>
      <c r="J145" s="9"/>
      <c r="K145" s="9"/>
      <c r="L145" s="9"/>
      <c r="M145" s="9"/>
      <c r="N145" s="9"/>
      <c r="O145" s="9"/>
      <c r="P145" s="9"/>
      <c r="Q145" s="9"/>
      <c r="R145" s="9"/>
      <c r="S145" s="9"/>
      <c r="T145" s="9"/>
      <c r="U145" s="9"/>
      <c r="V145" s="9"/>
      <c r="W145" s="9"/>
      <c r="X145" s="9"/>
      <c r="Y145" s="10"/>
      <c r="Z145" s="9"/>
      <c r="AA145" s="9"/>
      <c r="AB145" s="9"/>
      <c r="AC145" s="9"/>
      <c r="AD145" s="9"/>
      <c r="AE145" s="9"/>
      <c r="AF145" s="9"/>
      <c r="AG145" s="9"/>
      <c r="AH145" s="9"/>
      <c r="AI145" s="9"/>
      <c r="AJ145" s="9"/>
      <c r="AK145" s="9"/>
      <c r="AL145" s="9"/>
      <c r="AM145" s="9"/>
      <c r="AN145" s="9"/>
      <c r="AO145" s="9"/>
    </row>
    <row r="146" spans="1:41">
      <c r="A146" s="9"/>
      <c r="B146" s="9"/>
      <c r="C146" s="9"/>
      <c r="D146" s="9"/>
      <c r="E146" s="9"/>
      <c r="F146" s="9"/>
      <c r="G146" s="9"/>
      <c r="H146" s="9"/>
      <c r="I146" s="9"/>
      <c r="J146" s="9"/>
      <c r="K146" s="9"/>
      <c r="L146" s="9"/>
      <c r="M146" s="9"/>
      <c r="N146" s="9"/>
      <c r="O146" s="9"/>
      <c r="P146" s="9"/>
      <c r="Q146" s="9"/>
      <c r="R146" s="9"/>
      <c r="S146" s="9"/>
      <c r="T146" s="9"/>
      <c r="U146" s="9"/>
      <c r="V146" s="9"/>
      <c r="W146" s="9"/>
      <c r="X146" s="9"/>
      <c r="Y146" s="10"/>
      <c r="Z146" s="9"/>
      <c r="AA146" s="9"/>
      <c r="AB146" s="9"/>
      <c r="AC146" s="9"/>
      <c r="AD146" s="9"/>
      <c r="AE146" s="9"/>
      <c r="AF146" s="9"/>
      <c r="AG146" s="9"/>
      <c r="AH146" s="9"/>
      <c r="AI146" s="9"/>
      <c r="AJ146" s="9"/>
      <c r="AK146" s="9"/>
      <c r="AL146" s="9"/>
      <c r="AM146" s="9"/>
      <c r="AN146" s="9"/>
      <c r="AO146" s="9"/>
    </row>
    <row r="147" spans="1:41">
      <c r="A147" s="9"/>
      <c r="B147" s="9"/>
      <c r="C147" s="9"/>
      <c r="D147" s="9"/>
      <c r="E147" s="9"/>
      <c r="F147" s="9"/>
      <c r="G147" s="9"/>
      <c r="H147" s="9"/>
      <c r="I147" s="9"/>
      <c r="J147" s="9"/>
      <c r="K147" s="9"/>
      <c r="L147" s="9"/>
      <c r="M147" s="9"/>
      <c r="N147" s="9"/>
      <c r="O147" s="9"/>
      <c r="P147" s="9"/>
      <c r="Q147" s="9"/>
      <c r="R147" s="9"/>
      <c r="S147" s="9"/>
      <c r="T147" s="9"/>
      <c r="U147" s="9"/>
      <c r="V147" s="9"/>
      <c r="W147" s="9"/>
      <c r="X147" s="9"/>
      <c r="Y147" s="10"/>
      <c r="Z147" s="9"/>
      <c r="AA147" s="9"/>
      <c r="AB147" s="9"/>
      <c r="AC147" s="9"/>
      <c r="AD147" s="9"/>
      <c r="AE147" s="9"/>
      <c r="AF147" s="9"/>
      <c r="AG147" s="9"/>
      <c r="AH147" s="9"/>
      <c r="AI147" s="9"/>
      <c r="AJ147" s="9"/>
      <c r="AK147" s="9"/>
      <c r="AL147" s="9"/>
      <c r="AM147" s="9"/>
      <c r="AN147" s="9"/>
      <c r="AO147" s="9"/>
    </row>
    <row r="148" spans="1:41">
      <c r="A148" s="9"/>
      <c r="B148" s="9"/>
      <c r="C148" s="9"/>
      <c r="D148" s="9"/>
      <c r="E148" s="9"/>
      <c r="F148" s="9"/>
      <c r="G148" s="9"/>
      <c r="H148" s="9"/>
      <c r="I148" s="9"/>
      <c r="J148" s="9"/>
      <c r="K148" s="9"/>
      <c r="L148" s="9"/>
      <c r="M148" s="9"/>
      <c r="N148" s="9"/>
      <c r="O148" s="9"/>
      <c r="P148" s="9"/>
      <c r="Q148" s="9"/>
      <c r="R148" s="9"/>
      <c r="S148" s="9"/>
      <c r="T148" s="9"/>
      <c r="U148" s="9"/>
      <c r="V148" s="9"/>
      <c r="W148" s="9"/>
      <c r="X148" s="9"/>
      <c r="Y148" s="10"/>
      <c r="Z148" s="9"/>
      <c r="AA148" s="9"/>
      <c r="AB148" s="9"/>
      <c r="AC148" s="9"/>
      <c r="AD148" s="9"/>
      <c r="AE148" s="9"/>
      <c r="AF148" s="9"/>
      <c r="AG148" s="9"/>
      <c r="AH148" s="9"/>
      <c r="AI148" s="9"/>
      <c r="AJ148" s="9"/>
      <c r="AK148" s="9"/>
      <c r="AL148" s="9"/>
      <c r="AM148" s="9"/>
      <c r="AN148" s="9"/>
      <c r="AO148" s="9"/>
    </row>
    <row r="149" spans="1:41">
      <c r="A149" s="9"/>
      <c r="B149" s="9"/>
      <c r="C149" s="9"/>
      <c r="D149" s="9"/>
      <c r="E149" s="9"/>
      <c r="F149" s="9"/>
      <c r="G149" s="9"/>
      <c r="H149" s="9"/>
      <c r="I149" s="9"/>
      <c r="J149" s="9"/>
      <c r="K149" s="9"/>
      <c r="L149" s="9"/>
      <c r="M149" s="9"/>
      <c r="N149" s="9"/>
      <c r="O149" s="9"/>
      <c r="P149" s="9"/>
      <c r="Q149" s="9"/>
      <c r="R149" s="9"/>
      <c r="S149" s="9"/>
      <c r="T149" s="9"/>
      <c r="U149" s="9"/>
      <c r="V149" s="9"/>
      <c r="W149" s="9"/>
      <c r="X149" s="9"/>
      <c r="Y149" s="10"/>
      <c r="Z149" s="9"/>
      <c r="AA149" s="9"/>
      <c r="AB149" s="9"/>
      <c r="AC149" s="9"/>
      <c r="AD149" s="9"/>
      <c r="AE149" s="9"/>
      <c r="AF149" s="9"/>
      <c r="AG149" s="9"/>
      <c r="AH149" s="9"/>
      <c r="AI149" s="9"/>
      <c r="AJ149" s="9"/>
      <c r="AK149" s="9"/>
      <c r="AL149" s="9"/>
      <c r="AM149" s="9"/>
      <c r="AN149" s="9"/>
      <c r="AO149" s="9"/>
    </row>
    <row r="150" spans="1:41">
      <c r="A150" s="9"/>
      <c r="B150" s="9"/>
      <c r="C150" s="9"/>
      <c r="D150" s="9"/>
      <c r="E150" s="9"/>
      <c r="F150" s="9"/>
      <c r="G150" s="9"/>
      <c r="H150" s="9"/>
      <c r="I150" s="9"/>
      <c r="J150" s="9"/>
      <c r="K150" s="9"/>
      <c r="L150" s="9"/>
      <c r="M150" s="9"/>
      <c r="N150" s="9"/>
      <c r="O150" s="9"/>
      <c r="P150" s="9"/>
      <c r="Q150" s="9"/>
      <c r="R150" s="9"/>
      <c r="S150" s="9"/>
      <c r="T150" s="9"/>
      <c r="U150" s="9"/>
      <c r="V150" s="9"/>
      <c r="W150" s="9"/>
      <c r="X150" s="9"/>
      <c r="Y150" s="10"/>
      <c r="Z150" s="9"/>
      <c r="AA150" s="9"/>
      <c r="AB150" s="9"/>
      <c r="AC150" s="9"/>
      <c r="AD150" s="9"/>
      <c r="AE150" s="9"/>
      <c r="AF150" s="9"/>
      <c r="AG150" s="9"/>
      <c r="AH150" s="9"/>
      <c r="AI150" s="9"/>
      <c r="AJ150" s="9"/>
      <c r="AK150" s="9"/>
      <c r="AL150" s="9"/>
      <c r="AM150" s="9"/>
      <c r="AN150" s="9"/>
      <c r="AO150" s="9"/>
    </row>
    <row r="151" spans="1:41">
      <c r="A151" s="9"/>
      <c r="B151" s="9"/>
      <c r="C151" s="9"/>
      <c r="D151" s="9"/>
      <c r="E151" s="9"/>
      <c r="F151" s="9"/>
      <c r="G151" s="9"/>
      <c r="H151" s="9"/>
      <c r="I151" s="9"/>
      <c r="J151" s="9"/>
      <c r="K151" s="9"/>
      <c r="L151" s="9"/>
      <c r="M151" s="9"/>
      <c r="N151" s="9"/>
      <c r="O151" s="9"/>
      <c r="P151" s="9"/>
      <c r="Q151" s="9"/>
      <c r="R151" s="9"/>
      <c r="S151" s="9"/>
      <c r="T151" s="9"/>
      <c r="U151" s="9"/>
      <c r="V151" s="9"/>
      <c r="W151" s="9"/>
      <c r="X151" s="9"/>
      <c r="Y151" s="10"/>
      <c r="Z151" s="9"/>
      <c r="AA151" s="9"/>
      <c r="AB151" s="9"/>
      <c r="AC151" s="9"/>
      <c r="AD151" s="9"/>
      <c r="AE151" s="9"/>
      <c r="AF151" s="9"/>
      <c r="AG151" s="9"/>
      <c r="AH151" s="9"/>
      <c r="AI151" s="9"/>
      <c r="AJ151" s="9"/>
      <c r="AK151" s="9"/>
      <c r="AL151" s="9"/>
      <c r="AM151" s="9"/>
      <c r="AN151" s="9"/>
      <c r="AO151" s="9"/>
    </row>
    <row r="152" spans="1:41">
      <c r="A152" s="9"/>
      <c r="B152" s="9"/>
      <c r="C152" s="9"/>
      <c r="D152" s="9"/>
      <c r="E152" s="9"/>
      <c r="F152" s="9"/>
      <c r="G152" s="9"/>
      <c r="H152" s="9"/>
      <c r="I152" s="9"/>
      <c r="J152" s="9"/>
      <c r="K152" s="9"/>
      <c r="L152" s="9"/>
      <c r="M152" s="9"/>
      <c r="N152" s="9"/>
      <c r="O152" s="9"/>
      <c r="P152" s="9"/>
      <c r="Q152" s="9"/>
      <c r="R152" s="9"/>
      <c r="S152" s="9"/>
      <c r="T152" s="9"/>
      <c r="U152" s="9"/>
      <c r="V152" s="9"/>
      <c r="W152" s="9"/>
      <c r="X152" s="9"/>
      <c r="Y152" s="10"/>
      <c r="Z152" s="9"/>
      <c r="AA152" s="9"/>
      <c r="AB152" s="9"/>
      <c r="AC152" s="9"/>
      <c r="AD152" s="9"/>
      <c r="AE152" s="9"/>
      <c r="AF152" s="9"/>
      <c r="AG152" s="9"/>
      <c r="AH152" s="9"/>
      <c r="AI152" s="9"/>
      <c r="AJ152" s="9"/>
      <c r="AK152" s="9"/>
      <c r="AL152" s="9"/>
      <c r="AM152" s="9"/>
      <c r="AN152" s="9"/>
      <c r="AO152" s="9"/>
    </row>
    <row r="153" spans="1:41">
      <c r="A153" s="9"/>
      <c r="B153" s="9"/>
      <c r="C153" s="9"/>
      <c r="D153" s="9"/>
      <c r="E153" s="9"/>
      <c r="F153" s="9"/>
      <c r="G153" s="9"/>
      <c r="H153" s="9"/>
      <c r="I153" s="9"/>
      <c r="J153" s="9"/>
      <c r="K153" s="9"/>
      <c r="L153" s="9"/>
      <c r="M153" s="9"/>
      <c r="N153" s="9"/>
      <c r="O153" s="9"/>
      <c r="P153" s="9"/>
      <c r="Q153" s="9"/>
      <c r="R153" s="9"/>
      <c r="S153" s="9"/>
      <c r="T153" s="9"/>
      <c r="U153" s="9"/>
      <c r="V153" s="9"/>
      <c r="W153" s="9"/>
      <c r="X153" s="9"/>
      <c r="Y153" s="10"/>
      <c r="Z153" s="9"/>
      <c r="AA153" s="9"/>
      <c r="AB153" s="9"/>
      <c r="AC153" s="9"/>
      <c r="AD153" s="9"/>
      <c r="AE153" s="9"/>
      <c r="AF153" s="9"/>
      <c r="AG153" s="9"/>
      <c r="AH153" s="9"/>
      <c r="AI153" s="9"/>
      <c r="AJ153" s="9"/>
      <c r="AK153" s="9"/>
      <c r="AL153" s="9"/>
      <c r="AM153" s="9"/>
      <c r="AN153" s="9"/>
      <c r="AO153" s="9"/>
    </row>
    <row r="154" spans="1:41">
      <c r="A154" s="9"/>
      <c r="B154" s="9"/>
      <c r="C154" s="9"/>
      <c r="D154" s="9"/>
      <c r="E154" s="9"/>
      <c r="F154" s="9"/>
      <c r="G154" s="9"/>
      <c r="H154" s="9"/>
      <c r="I154" s="9"/>
      <c r="J154" s="9"/>
      <c r="K154" s="9"/>
      <c r="L154" s="9"/>
      <c r="M154" s="9"/>
      <c r="N154" s="9"/>
      <c r="O154" s="9"/>
      <c r="P154" s="9"/>
      <c r="Q154" s="9"/>
      <c r="R154" s="9"/>
      <c r="S154" s="9"/>
      <c r="T154" s="9"/>
      <c r="U154" s="9"/>
      <c r="V154" s="9"/>
      <c r="W154" s="9"/>
      <c r="X154" s="9"/>
      <c r="Y154" s="10"/>
      <c r="Z154" s="9"/>
      <c r="AA154" s="9"/>
      <c r="AB154" s="9"/>
      <c r="AC154" s="9"/>
      <c r="AD154" s="9"/>
      <c r="AE154" s="9"/>
      <c r="AF154" s="9"/>
      <c r="AG154" s="9"/>
      <c r="AH154" s="9"/>
      <c r="AI154" s="9"/>
      <c r="AJ154" s="9"/>
      <c r="AK154" s="9"/>
      <c r="AL154" s="9"/>
      <c r="AM154" s="9"/>
      <c r="AN154" s="9"/>
      <c r="AO154" s="9"/>
    </row>
    <row r="155" spans="1:41">
      <c r="A155" s="9"/>
      <c r="B155" s="9"/>
      <c r="C155" s="9"/>
      <c r="D155" s="9"/>
      <c r="E155" s="9"/>
      <c r="F155" s="9"/>
      <c r="G155" s="9"/>
      <c r="H155" s="9"/>
      <c r="I155" s="9"/>
      <c r="J155" s="9"/>
      <c r="K155" s="9"/>
      <c r="L155" s="9"/>
      <c r="M155" s="9"/>
      <c r="N155" s="9"/>
      <c r="O155" s="9"/>
      <c r="P155" s="9"/>
      <c r="Q155" s="9"/>
      <c r="R155" s="9"/>
      <c r="S155" s="9"/>
      <c r="T155" s="9"/>
      <c r="U155" s="9"/>
      <c r="V155" s="9"/>
      <c r="W155" s="9"/>
      <c r="X155" s="9"/>
      <c r="Y155" s="10"/>
      <c r="Z155" s="9"/>
      <c r="AA155" s="9"/>
      <c r="AB155" s="9"/>
      <c r="AC155" s="9"/>
      <c r="AD155" s="9"/>
      <c r="AE155" s="9"/>
      <c r="AF155" s="9"/>
      <c r="AG155" s="9"/>
      <c r="AH155" s="9"/>
      <c r="AI155" s="9"/>
      <c r="AJ155" s="9"/>
      <c r="AK155" s="9"/>
      <c r="AL155" s="9"/>
      <c r="AM155" s="9"/>
      <c r="AN155" s="9"/>
      <c r="AO155" s="9"/>
    </row>
    <row r="156" spans="1:41">
      <c r="A156" s="9"/>
      <c r="B156" s="9"/>
      <c r="C156" s="9"/>
      <c r="D156" s="9"/>
      <c r="E156" s="9"/>
      <c r="F156" s="9"/>
      <c r="G156" s="9"/>
      <c r="H156" s="9"/>
      <c r="I156" s="9"/>
      <c r="J156" s="9"/>
      <c r="K156" s="9"/>
      <c r="L156" s="9"/>
      <c r="M156" s="9"/>
      <c r="N156" s="9"/>
      <c r="O156" s="9"/>
      <c r="P156" s="9"/>
      <c r="Q156" s="9"/>
      <c r="R156" s="9"/>
      <c r="S156" s="9"/>
      <c r="T156" s="9"/>
      <c r="U156" s="9"/>
      <c r="V156" s="9"/>
      <c r="W156" s="9"/>
      <c r="X156" s="9"/>
      <c r="Y156" s="10"/>
      <c r="Z156" s="9"/>
      <c r="AA156" s="9"/>
      <c r="AB156" s="9"/>
      <c r="AC156" s="9"/>
      <c r="AD156" s="9"/>
      <c r="AE156" s="9"/>
      <c r="AF156" s="9"/>
      <c r="AG156" s="9"/>
      <c r="AH156" s="9"/>
      <c r="AI156" s="9"/>
      <c r="AJ156" s="9"/>
      <c r="AK156" s="9"/>
      <c r="AL156" s="9"/>
      <c r="AM156" s="9"/>
      <c r="AN156" s="9"/>
      <c r="AO156" s="9"/>
    </row>
    <row r="157" spans="1:41">
      <c r="A157" s="9"/>
      <c r="B157" s="9"/>
      <c r="C157" s="9"/>
      <c r="D157" s="9"/>
      <c r="E157" s="9"/>
      <c r="F157" s="9"/>
      <c r="G157" s="9"/>
      <c r="H157" s="9"/>
      <c r="I157" s="9"/>
      <c r="J157" s="9"/>
      <c r="K157" s="9"/>
      <c r="L157" s="9"/>
      <c r="M157" s="9"/>
      <c r="N157" s="9"/>
      <c r="O157" s="9"/>
      <c r="P157" s="9"/>
      <c r="Q157" s="9"/>
      <c r="R157" s="9"/>
      <c r="S157" s="9"/>
      <c r="T157" s="9"/>
      <c r="U157" s="9"/>
      <c r="V157" s="9"/>
      <c r="W157" s="9"/>
      <c r="X157" s="9"/>
      <c r="Y157" s="10"/>
      <c r="Z157" s="9"/>
      <c r="AA157" s="9"/>
      <c r="AB157" s="9"/>
      <c r="AC157" s="9"/>
      <c r="AD157" s="9"/>
      <c r="AE157" s="9"/>
      <c r="AF157" s="9"/>
      <c r="AG157" s="9"/>
      <c r="AH157" s="9"/>
      <c r="AI157" s="9"/>
      <c r="AJ157" s="9"/>
      <c r="AK157" s="9"/>
      <c r="AL157" s="9"/>
      <c r="AM157" s="9"/>
      <c r="AN157" s="9"/>
      <c r="AO157" s="9"/>
    </row>
    <row r="158" spans="1:41">
      <c r="A158" s="9"/>
      <c r="B158" s="9"/>
      <c r="C158" s="9"/>
      <c r="D158" s="9"/>
      <c r="E158" s="9"/>
      <c r="F158" s="9"/>
      <c r="G158" s="9"/>
      <c r="H158" s="9"/>
      <c r="I158" s="9"/>
      <c r="J158" s="9"/>
      <c r="K158" s="9"/>
      <c r="L158" s="9"/>
      <c r="M158" s="9"/>
      <c r="N158" s="9"/>
      <c r="O158" s="9"/>
      <c r="P158" s="9"/>
      <c r="Q158" s="9"/>
      <c r="R158" s="9"/>
      <c r="S158" s="9"/>
      <c r="T158" s="9"/>
      <c r="U158" s="9"/>
      <c r="V158" s="9"/>
      <c r="W158" s="9"/>
      <c r="X158" s="9"/>
      <c r="Y158" s="10"/>
      <c r="Z158" s="9"/>
      <c r="AA158" s="9"/>
      <c r="AB158" s="9"/>
      <c r="AC158" s="9"/>
      <c r="AD158" s="9"/>
      <c r="AE158" s="9"/>
      <c r="AF158" s="9"/>
      <c r="AG158" s="9"/>
      <c r="AH158" s="9"/>
      <c r="AI158" s="9"/>
      <c r="AJ158" s="9"/>
      <c r="AK158" s="9"/>
      <c r="AL158" s="9"/>
      <c r="AM158" s="9"/>
      <c r="AN158" s="9"/>
      <c r="AO158" s="9"/>
    </row>
    <row r="159" spans="1:41">
      <c r="A159" s="9"/>
      <c r="B159" s="9"/>
      <c r="C159" s="9"/>
      <c r="D159" s="9"/>
      <c r="E159" s="9"/>
      <c r="F159" s="9"/>
      <c r="G159" s="9"/>
      <c r="H159" s="9"/>
      <c r="I159" s="9"/>
      <c r="J159" s="9"/>
      <c r="K159" s="9"/>
      <c r="L159" s="9"/>
      <c r="M159" s="9"/>
      <c r="N159" s="9"/>
      <c r="O159" s="9"/>
      <c r="P159" s="9"/>
      <c r="Q159" s="9"/>
      <c r="R159" s="9"/>
      <c r="S159" s="9"/>
      <c r="T159" s="9"/>
      <c r="U159" s="9"/>
      <c r="V159" s="9"/>
      <c r="W159" s="9"/>
      <c r="X159" s="9"/>
      <c r="Y159" s="10"/>
      <c r="Z159" s="9"/>
      <c r="AA159" s="9"/>
      <c r="AB159" s="9"/>
      <c r="AC159" s="9"/>
      <c r="AD159" s="9"/>
      <c r="AE159" s="9"/>
      <c r="AF159" s="9"/>
      <c r="AG159" s="9"/>
      <c r="AH159" s="9"/>
      <c r="AI159" s="9"/>
      <c r="AJ159" s="9"/>
      <c r="AK159" s="9"/>
      <c r="AL159" s="9"/>
      <c r="AM159" s="9"/>
      <c r="AN159" s="9"/>
      <c r="AO159" s="9"/>
    </row>
  </sheetData>
  <sheetProtection algorithmName="SHA-512" hashValue="g/7i3uN91FKctykwNNXiUIUs8dSqcrVJgdeD+/kP6QrrBoMeZMo2kH6hFl9mSlqRWiY0PmQv9ILSMNS5o4l1dA==" saltValue="ZyB9LXM7yNPoSRaffH7xuw==" spinCount="100000" sheet="1" objects="1" scenarios="1" selectLockedCells="1"/>
  <dataConsolidate function="product" link="1"/>
  <mergeCells count="48">
    <mergeCell ref="A8:D8"/>
    <mergeCell ref="A9:D9"/>
    <mergeCell ref="A10:D10"/>
    <mergeCell ref="A11:D11"/>
    <mergeCell ref="K1:N1"/>
    <mergeCell ref="A1:D1"/>
    <mergeCell ref="B3:I3"/>
    <mergeCell ref="A6:J7"/>
    <mergeCell ref="H1:I1"/>
    <mergeCell ref="A16:D16"/>
    <mergeCell ref="A17:D17"/>
    <mergeCell ref="A18:D18"/>
    <mergeCell ref="A19:D19"/>
    <mergeCell ref="A12:D12"/>
    <mergeCell ref="A13:D13"/>
    <mergeCell ref="A14:D14"/>
    <mergeCell ref="A15:D15"/>
    <mergeCell ref="A24:D24"/>
    <mergeCell ref="A25:D25"/>
    <mergeCell ref="A26:D26"/>
    <mergeCell ref="A27:D27"/>
    <mergeCell ref="A20:D20"/>
    <mergeCell ref="A21:D21"/>
    <mergeCell ref="A22:D22"/>
    <mergeCell ref="A23:D23"/>
    <mergeCell ref="A32:D32"/>
    <mergeCell ref="A33:D33"/>
    <mergeCell ref="A34:D34"/>
    <mergeCell ref="A35:D35"/>
    <mergeCell ref="A28:D28"/>
    <mergeCell ref="A29:D29"/>
    <mergeCell ref="A30:D30"/>
    <mergeCell ref="A31:D31"/>
    <mergeCell ref="A40:D40"/>
    <mergeCell ref="A41:D41"/>
    <mergeCell ref="A42:D42"/>
    <mergeCell ref="A43:D43"/>
    <mergeCell ref="A36:D36"/>
    <mergeCell ref="A37:D37"/>
    <mergeCell ref="A38:D38"/>
    <mergeCell ref="A39:D39"/>
    <mergeCell ref="A48:D48"/>
    <mergeCell ref="A49:D49"/>
    <mergeCell ref="A50:D50"/>
    <mergeCell ref="A44:D44"/>
    <mergeCell ref="A45:D45"/>
    <mergeCell ref="A46:D46"/>
    <mergeCell ref="A47:D47"/>
  </mergeCells>
  <phoneticPr fontId="0" type="noConversion"/>
  <pageMargins left="0.70866141732283472" right="0.19685039370078741" top="0.98425196850393704" bottom="0.98425196850393704" header="0.51181102362204722" footer="0.51181102362204722"/>
  <pageSetup paperSize="9" scale="99" orientation="portrait" blackAndWhite="1" r:id="rId1"/>
  <headerFooter alignWithMargins="0"/>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0000000}">
          <x14:formula1>
            <xm:f>Indata!$R$13:$R$19</xm:f>
          </x14:formula1>
          <xm:sqref>C5</xm:sqref>
        </x14:dataValidation>
        <x14:dataValidation type="list" allowBlank="1" showInputMessage="1" showErrorMessage="1" xr:uid="{00000000-0002-0000-0500-000001000000}">
          <x14:formula1>
            <xm:f>Indata!$U$15:$U$18</xm:f>
          </x14:formula1>
          <xm:sqref>K8:K50</xm:sqref>
        </x14:dataValidation>
        <x14:dataValidation type="list" allowBlank="1" showInputMessage="1" showErrorMessage="1" xr:uid="{00000000-0002-0000-0500-000002000000}">
          <x14:formula1>
            <xm:f>Indata!$U$23:$U$25</xm:f>
          </x14:formula1>
          <xm:sqref>L8:L50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00B050"/>
  </sheetPr>
  <dimension ref="A2:S27"/>
  <sheetViews>
    <sheetView zoomScaleNormal="100" workbookViewId="0" xr3:uid="{9B253EF2-77E0-53E3-AE26-4D66ECD923F3}">
      <selection activeCell="B10" sqref="B10"/>
    </sheetView>
  </sheetViews>
  <sheetFormatPr defaultRowHeight="15.75"/>
  <cols>
    <col min="1" max="1" width="9.140625" style="183"/>
    <col min="9" max="9" width="9.140625" customWidth="1"/>
    <col min="10" max="10" width="1.42578125" customWidth="1"/>
    <col min="11" max="11" width="6" customWidth="1"/>
    <col min="20" max="20" width="7.42578125" customWidth="1"/>
  </cols>
  <sheetData>
    <row r="2" spans="1:19">
      <c r="M2" s="208" t="s">
        <v>316</v>
      </c>
    </row>
    <row r="3" spans="1:19" ht="16.5" thickBot="1"/>
    <row r="4" spans="1:19" ht="24" thickBot="1">
      <c r="A4" s="189"/>
      <c r="B4" s="50"/>
      <c r="C4" s="50"/>
      <c r="D4" s="50"/>
      <c r="E4" s="50"/>
      <c r="F4" s="50"/>
      <c r="G4" s="50"/>
      <c r="H4" s="446" t="s">
        <v>245</v>
      </c>
      <c r="I4" s="446"/>
      <c r="L4" s="209"/>
      <c r="M4" s="210"/>
      <c r="N4" s="210"/>
      <c r="O4" s="210"/>
      <c r="P4" s="210"/>
      <c r="Q4" s="210"/>
      <c r="R4" s="210"/>
      <c r="S4" s="516"/>
    </row>
    <row r="5" spans="1:19" thickTop="1">
      <c r="A5" s="190"/>
      <c r="B5" s="191" t="s">
        <v>317</v>
      </c>
      <c r="C5" s="50"/>
      <c r="D5" s="191" t="str">
        <f>IF(Sammandrag!E3&gt;0,Sammandrag!E3,"")</f>
        <v/>
      </c>
      <c r="E5" s="50"/>
      <c r="F5" s="50"/>
      <c r="G5" s="50"/>
      <c r="H5" s="50"/>
      <c r="I5" s="50"/>
      <c r="L5" s="211"/>
      <c r="S5" s="212"/>
    </row>
    <row r="6" spans="1:19">
      <c r="A6" s="189"/>
      <c r="B6" s="50"/>
      <c r="C6" s="50"/>
      <c r="D6" s="50"/>
      <c r="E6" s="50"/>
      <c r="F6" s="50"/>
      <c r="G6" s="50"/>
      <c r="H6" s="50"/>
      <c r="I6" s="50"/>
      <c r="L6" s="211"/>
      <c r="S6" s="212"/>
    </row>
    <row r="7" spans="1:19">
      <c r="A7" s="189"/>
      <c r="B7" s="191" t="s">
        <v>318</v>
      </c>
      <c r="C7" s="50"/>
      <c r="D7" s="50"/>
      <c r="E7" s="50"/>
      <c r="F7" s="50"/>
      <c r="G7" s="50"/>
      <c r="H7" s="50"/>
      <c r="I7" s="50"/>
      <c r="L7" s="211"/>
      <c r="S7" s="212"/>
    </row>
    <row r="8" spans="1:19">
      <c r="A8" s="189"/>
      <c r="B8" s="66" t="s">
        <v>319</v>
      </c>
      <c r="C8" s="50"/>
      <c r="D8" s="50"/>
      <c r="E8" s="50"/>
      <c r="F8" s="50"/>
      <c r="G8" s="50"/>
      <c r="H8" s="50"/>
      <c r="I8" s="50"/>
      <c r="L8" s="211"/>
      <c r="S8" s="212"/>
    </row>
    <row r="9" spans="1:19" ht="16.5" thickBot="1">
      <c r="A9" s="189"/>
      <c r="B9" s="50"/>
      <c r="C9" s="50"/>
      <c r="D9" s="50"/>
      <c r="E9" s="50"/>
      <c r="F9" s="50"/>
      <c r="G9" s="50"/>
      <c r="H9" s="50"/>
      <c r="I9" s="50"/>
      <c r="L9" s="211"/>
      <c r="S9" s="212"/>
    </row>
    <row r="10" spans="1:19" ht="16.5" thickBot="1">
      <c r="A10" s="189" t="s">
        <v>320</v>
      </c>
      <c r="B10" s="217"/>
      <c r="C10" s="50" t="s">
        <v>321</v>
      </c>
      <c r="D10" s="50"/>
      <c r="E10" s="50"/>
      <c r="F10" s="50"/>
      <c r="G10" s="50"/>
      <c r="H10" s="50"/>
      <c r="I10" s="50"/>
      <c r="L10" s="211"/>
      <c r="S10" s="212"/>
    </row>
    <row r="11" spans="1:19" ht="16.5" thickBot="1">
      <c r="A11" s="189"/>
      <c r="B11" s="192"/>
      <c r="C11" s="50"/>
      <c r="D11" s="50"/>
      <c r="E11" s="50"/>
      <c r="F11" s="50"/>
      <c r="G11" s="50"/>
      <c r="H11" s="50"/>
      <c r="I11" s="50"/>
      <c r="L11" s="211"/>
      <c r="S11" s="212"/>
    </row>
    <row r="12" spans="1:19" ht="16.5" thickBot="1">
      <c r="A12" s="189" t="s">
        <v>322</v>
      </c>
      <c r="B12" s="204"/>
      <c r="C12" s="66" t="s">
        <v>323</v>
      </c>
      <c r="D12" s="50"/>
      <c r="E12" s="50"/>
      <c r="F12" s="50"/>
      <c r="G12" s="50"/>
      <c r="H12" s="50"/>
      <c r="I12" s="50"/>
      <c r="L12" s="211"/>
      <c r="S12" s="212"/>
    </row>
    <row r="13" spans="1:19" ht="16.5" thickBot="1">
      <c r="A13" s="189"/>
      <c r="B13" s="192"/>
      <c r="C13" s="50"/>
      <c r="D13" s="50"/>
      <c r="E13" s="50"/>
      <c r="F13" s="50"/>
      <c r="G13" s="50"/>
      <c r="H13" s="50"/>
      <c r="I13" s="50"/>
      <c r="L13" s="211"/>
      <c r="S13" s="212"/>
    </row>
    <row r="14" spans="1:19" ht="16.5" thickBot="1">
      <c r="A14" s="189" t="s">
        <v>324</v>
      </c>
      <c r="B14" s="204"/>
      <c r="C14" s="50" t="s">
        <v>325</v>
      </c>
      <c r="D14" s="50"/>
      <c r="E14" s="50"/>
      <c r="F14" s="50"/>
      <c r="G14" s="50"/>
      <c r="H14" s="50"/>
      <c r="I14" s="50"/>
      <c r="L14" s="211"/>
      <c r="S14" s="212"/>
    </row>
    <row r="15" spans="1:19" ht="16.5" thickBot="1">
      <c r="A15" s="189"/>
      <c r="B15" s="192"/>
      <c r="C15" s="50"/>
      <c r="D15" s="50"/>
      <c r="E15" s="50"/>
      <c r="F15" s="50"/>
      <c r="G15" s="50"/>
      <c r="H15" s="50"/>
      <c r="I15" s="50"/>
      <c r="L15" s="211"/>
      <c r="S15" s="212"/>
    </row>
    <row r="16" spans="1:19" ht="16.5" thickBot="1">
      <c r="A16" s="189" t="s">
        <v>326</v>
      </c>
      <c r="B16" s="204"/>
      <c r="C16" s="50" t="s">
        <v>327</v>
      </c>
      <c r="D16" s="50"/>
      <c r="E16" s="50"/>
      <c r="F16" s="50"/>
      <c r="G16" s="50"/>
      <c r="H16" s="50"/>
      <c r="I16" s="50"/>
      <c r="L16" s="211"/>
      <c r="S16" s="212"/>
    </row>
    <row r="17" spans="1:19" ht="16.5" thickBot="1">
      <c r="A17" s="189"/>
      <c r="B17" s="192"/>
      <c r="C17" s="50"/>
      <c r="D17" s="50"/>
      <c r="E17" s="50"/>
      <c r="F17" s="50"/>
      <c r="G17" s="50"/>
      <c r="H17" s="50"/>
      <c r="I17" s="50"/>
      <c r="L17" s="211"/>
      <c r="S17" s="212"/>
    </row>
    <row r="18" spans="1:19" ht="16.5" thickBot="1">
      <c r="A18" s="189"/>
      <c r="B18" s="204"/>
      <c r="C18" s="50" t="s">
        <v>328</v>
      </c>
      <c r="D18" s="50"/>
      <c r="E18" s="50"/>
      <c r="F18" s="50"/>
      <c r="G18" s="50"/>
      <c r="H18" s="50"/>
      <c r="I18" s="50"/>
      <c r="L18" s="211"/>
      <c r="S18" s="212"/>
    </row>
    <row r="19" spans="1:19">
      <c r="A19" s="189"/>
      <c r="B19" s="50"/>
      <c r="C19" s="50"/>
      <c r="D19" s="50"/>
      <c r="E19" s="50"/>
      <c r="F19" s="50"/>
      <c r="G19" s="50"/>
      <c r="H19" s="50"/>
      <c r="I19" s="50"/>
      <c r="L19" s="211"/>
      <c r="S19" s="212"/>
    </row>
    <row r="20" spans="1:19">
      <c r="L20" s="211"/>
      <c r="S20" s="212"/>
    </row>
    <row r="21" spans="1:19">
      <c r="L21" s="211"/>
      <c r="S21" s="212"/>
    </row>
    <row r="22" spans="1:19">
      <c r="L22" s="211"/>
      <c r="S22" s="212"/>
    </row>
    <row r="23" spans="1:19">
      <c r="L23" s="211"/>
      <c r="S23" s="212"/>
    </row>
    <row r="24" spans="1:19">
      <c r="L24" s="211"/>
      <c r="S24" s="212"/>
    </row>
    <row r="25" spans="1:19">
      <c r="L25" s="211"/>
      <c r="S25" s="212"/>
    </row>
    <row r="26" spans="1:19">
      <c r="L26" s="211"/>
      <c r="S26" s="212"/>
    </row>
    <row r="27" spans="1:19" ht="5.25" customHeight="1" thickBot="1">
      <c r="L27" s="213"/>
      <c r="M27" s="214"/>
      <c r="N27" s="214"/>
      <c r="O27" s="214"/>
      <c r="P27" s="214"/>
      <c r="Q27" s="214"/>
      <c r="R27" s="214"/>
      <c r="S27" s="329"/>
    </row>
  </sheetData>
  <sheetProtection algorithmName="SHA-512" hashValue="0hcAcNRjRUa3jAh9wPoIeqnYYFQji3xnkD/Bf/pc087NIghnciVMXA1QRsEF5WiydcWTiDUtL0e1sXjQzdQ9iA==" saltValue="VjR9HuSxjWPGj4llWNORTQ==" spinCount="100000" sheet="1" objects="1" scenarios="1" selectLockedCells="1"/>
  <mergeCells count="1">
    <mergeCell ref="H4:I4"/>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5">
    <tabColor theme="0" tint="-0.34998626667073579"/>
    <pageSetUpPr autoPageBreaks="0"/>
  </sheetPr>
  <dimension ref="A1:W159"/>
  <sheetViews>
    <sheetView zoomScale="80" zoomScaleNormal="80" workbookViewId="0" xr3:uid="{85D5C41F-068E-5C55-9968-509E7C2A5619}">
      <selection activeCell="C5" sqref="C5"/>
    </sheetView>
  </sheetViews>
  <sheetFormatPr defaultRowHeight="12.75"/>
  <cols>
    <col min="1" max="1" width="17.140625" customWidth="1"/>
    <col min="2" max="2" width="23.42578125" customWidth="1"/>
    <col min="3" max="3" width="7.28515625" customWidth="1"/>
    <col min="4" max="4" width="16.7109375" customWidth="1"/>
    <col min="5" max="5" width="11.28515625" customWidth="1"/>
    <col min="8" max="8" width="12.85546875" bestFit="1" customWidth="1"/>
    <col min="10" max="10" width="7.140625" customWidth="1"/>
    <col min="12" max="12" width="23" customWidth="1"/>
    <col min="13" max="13" width="13.42578125" bestFit="1" customWidth="1"/>
    <col min="14" max="14" width="17.5703125" customWidth="1"/>
    <col min="15" max="15" width="13.85546875" customWidth="1"/>
    <col min="17" max="17" width="12.140625" bestFit="1" customWidth="1"/>
    <col min="18" max="18" width="11.140625" customWidth="1"/>
    <col min="21" max="21" width="10.7109375" customWidth="1"/>
  </cols>
  <sheetData>
    <row r="1" spans="1:23" ht="55.5" customHeight="1" thickBot="1">
      <c r="A1" s="9"/>
      <c r="B1" s="9"/>
      <c r="C1" s="9"/>
      <c r="D1" s="9"/>
      <c r="E1" s="9"/>
      <c r="F1" s="9"/>
      <c r="G1" s="9"/>
      <c r="H1" s="9"/>
      <c r="I1" s="9"/>
      <c r="J1" s="9"/>
      <c r="K1" s="380" t="s">
        <v>329</v>
      </c>
      <c r="L1" s="517"/>
      <c r="M1" s="517"/>
      <c r="N1" s="517"/>
      <c r="O1" s="517"/>
      <c r="P1" s="9"/>
      <c r="Q1" s="9"/>
      <c r="R1" s="9"/>
      <c r="S1" s="9"/>
      <c r="T1" s="9"/>
      <c r="U1" s="9"/>
      <c r="V1" s="9"/>
      <c r="W1" s="9"/>
    </row>
    <row r="2" spans="1:23" ht="24">
      <c r="A2" s="252"/>
      <c r="B2" s="9"/>
      <c r="C2" s="331"/>
      <c r="D2" s="332" t="s">
        <v>330</v>
      </c>
      <c r="E2" s="332"/>
      <c r="F2" s="333"/>
      <c r="G2" s="9"/>
      <c r="H2" s="379" t="s">
        <v>331</v>
      </c>
      <c r="I2" s="379"/>
      <c r="J2" s="9"/>
      <c r="K2" s="171" t="s">
        <v>263</v>
      </c>
      <c r="L2" s="172" t="s">
        <v>332</v>
      </c>
      <c r="M2" s="173" t="s">
        <v>333</v>
      </c>
      <c r="N2" s="173" t="s">
        <v>334</v>
      </c>
      <c r="O2" s="319"/>
      <c r="P2" s="9"/>
      <c r="Q2" s="251"/>
      <c r="R2" s="9"/>
      <c r="S2" s="9"/>
      <c r="T2" s="120" t="s">
        <v>335</v>
      </c>
      <c r="U2" s="9"/>
      <c r="V2" s="9"/>
      <c r="W2" s="9"/>
    </row>
    <row r="3" spans="1:23">
      <c r="A3" s="9"/>
      <c r="B3" s="9"/>
      <c r="C3" s="35"/>
      <c r="D3" s="36"/>
      <c r="E3" s="36"/>
      <c r="F3" s="37"/>
      <c r="G3" s="9"/>
      <c r="H3" s="9">
        <v>2009</v>
      </c>
      <c r="I3" s="45">
        <v>42800</v>
      </c>
      <c r="J3" s="9"/>
      <c r="K3" s="218"/>
      <c r="L3" s="219"/>
      <c r="M3" s="220"/>
      <c r="N3" s="220"/>
      <c r="O3" s="178"/>
      <c r="P3" s="9"/>
      <c r="Q3" s="9"/>
      <c r="R3" s="9"/>
      <c r="S3" s="9"/>
      <c r="T3" s="120" t="s">
        <v>336</v>
      </c>
      <c r="U3" s="9"/>
      <c r="V3" s="9"/>
      <c r="W3" s="9"/>
    </row>
    <row r="4" spans="1:23">
      <c r="A4" s="9"/>
      <c r="B4" s="9"/>
      <c r="C4" s="35"/>
      <c r="D4" s="36"/>
      <c r="E4" s="36"/>
      <c r="F4" s="37"/>
      <c r="G4" s="9"/>
      <c r="H4" s="9">
        <v>2010</v>
      </c>
      <c r="I4" s="45">
        <v>42400</v>
      </c>
      <c r="J4" s="9"/>
      <c r="K4" s="174">
        <v>5</v>
      </c>
      <c r="L4" s="175" t="s">
        <v>337</v>
      </c>
      <c r="M4" s="176">
        <v>29310</v>
      </c>
      <c r="N4" s="177" t="s">
        <v>338</v>
      </c>
      <c r="O4" s="256" t="s">
        <v>339</v>
      </c>
      <c r="P4" s="9"/>
      <c r="Q4" s="9"/>
      <c r="R4" s="9"/>
      <c r="S4" s="9"/>
      <c r="T4" s="120" t="s">
        <v>340</v>
      </c>
      <c r="U4" s="9"/>
      <c r="V4" s="9"/>
      <c r="W4" s="9"/>
    </row>
    <row r="5" spans="1:23">
      <c r="A5" s="9"/>
      <c r="B5" s="9"/>
      <c r="C5" s="35"/>
      <c r="D5" s="36" t="s">
        <v>341</v>
      </c>
      <c r="E5" s="337">
        <v>48300</v>
      </c>
      <c r="F5" s="37"/>
      <c r="G5" s="9"/>
      <c r="H5" s="9">
        <v>2011</v>
      </c>
      <c r="I5" s="45">
        <v>42800</v>
      </c>
      <c r="J5" s="9"/>
      <c r="K5" s="174">
        <v>10</v>
      </c>
      <c r="L5" s="175" t="s">
        <v>342</v>
      </c>
      <c r="M5" s="176">
        <v>29310</v>
      </c>
      <c r="N5" s="177" t="s">
        <v>338</v>
      </c>
      <c r="O5" s="256" t="s">
        <v>339</v>
      </c>
      <c r="P5" s="9"/>
      <c r="Q5" s="9"/>
      <c r="R5" s="9"/>
      <c r="S5" s="9"/>
      <c r="T5" s="9"/>
      <c r="U5" s="9"/>
      <c r="V5" s="9"/>
      <c r="W5" s="9"/>
    </row>
    <row r="6" spans="1:23">
      <c r="A6" s="9"/>
      <c r="B6" s="9"/>
      <c r="C6" s="35"/>
      <c r="D6" s="36"/>
      <c r="E6" s="36"/>
      <c r="F6" s="37"/>
      <c r="G6" s="9"/>
      <c r="H6" s="9">
        <v>2012</v>
      </c>
      <c r="I6" s="45">
        <v>44000</v>
      </c>
      <c r="J6" s="9"/>
      <c r="K6" s="174">
        <v>12</v>
      </c>
      <c r="L6" s="175" t="s">
        <v>343</v>
      </c>
      <c r="M6" s="176">
        <v>29310</v>
      </c>
      <c r="N6" s="177" t="s">
        <v>338</v>
      </c>
      <c r="O6" s="256" t="s">
        <v>339</v>
      </c>
      <c r="P6" s="9"/>
      <c r="Q6" s="9"/>
      <c r="R6" s="9"/>
      <c r="S6" s="9"/>
      <c r="T6" s="9"/>
      <c r="U6" s="9"/>
      <c r="V6" s="9"/>
      <c r="W6" s="9"/>
    </row>
    <row r="7" spans="1:23">
      <c r="A7" s="9"/>
      <c r="B7" s="9"/>
      <c r="C7" s="35"/>
      <c r="D7" s="38" t="s">
        <v>344</v>
      </c>
      <c r="E7" s="338">
        <v>4.1900000000000004</v>
      </c>
      <c r="F7" s="37"/>
      <c r="G7" s="9"/>
      <c r="H7" s="9">
        <v>2013</v>
      </c>
      <c r="I7" s="46">
        <v>44500</v>
      </c>
      <c r="J7" s="9"/>
      <c r="K7" s="174">
        <v>13</v>
      </c>
      <c r="L7" s="175" t="s">
        <v>345</v>
      </c>
      <c r="M7" s="176">
        <v>29310</v>
      </c>
      <c r="N7" s="177" t="s">
        <v>338</v>
      </c>
      <c r="O7" s="256" t="s">
        <v>339</v>
      </c>
      <c r="P7" s="9"/>
      <c r="Q7" s="9"/>
      <c r="R7" s="9"/>
      <c r="S7" s="9"/>
      <c r="T7" s="9"/>
      <c r="U7" s="9"/>
      <c r="V7" s="9"/>
      <c r="W7" s="9"/>
    </row>
    <row r="8" spans="1:23">
      <c r="A8" s="9"/>
      <c r="B8" s="9"/>
      <c r="C8" s="35"/>
      <c r="D8" s="38"/>
      <c r="E8" s="39"/>
      <c r="F8" s="37"/>
      <c r="G8" s="9"/>
      <c r="H8" s="9">
        <v>2014</v>
      </c>
      <c r="I8" s="46">
        <v>44400</v>
      </c>
      <c r="J8" s="9"/>
      <c r="K8" s="174">
        <v>14</v>
      </c>
      <c r="L8" s="175" t="s">
        <v>346</v>
      </c>
      <c r="M8" s="176">
        <v>29310</v>
      </c>
      <c r="N8" s="177" t="s">
        <v>338</v>
      </c>
      <c r="O8" s="256" t="s">
        <v>339</v>
      </c>
      <c r="P8" s="9"/>
      <c r="Q8" s="253" t="s">
        <v>347</v>
      </c>
      <c r="R8" s="9"/>
      <c r="S8" s="9"/>
      <c r="T8" s="9"/>
      <c r="U8" s="9"/>
      <c r="V8" s="9"/>
      <c r="W8" s="9"/>
    </row>
    <row r="9" spans="1:23">
      <c r="A9" s="9"/>
      <c r="B9" s="9"/>
      <c r="C9" s="35"/>
      <c r="D9" s="38"/>
      <c r="E9" s="39"/>
      <c r="F9" s="37"/>
      <c r="G9" s="9"/>
      <c r="H9" s="9">
        <v>2015</v>
      </c>
      <c r="I9" s="46">
        <v>44500</v>
      </c>
      <c r="J9" s="9"/>
      <c r="K9" s="174">
        <v>16</v>
      </c>
      <c r="L9" s="175" t="s">
        <v>348</v>
      </c>
      <c r="M9" s="176">
        <v>28000</v>
      </c>
      <c r="N9" s="177" t="s">
        <v>349</v>
      </c>
      <c r="O9" s="178"/>
      <c r="P9" s="9"/>
      <c r="Q9" s="9"/>
      <c r="R9" s="9"/>
      <c r="S9" s="9"/>
      <c r="T9" s="9"/>
      <c r="U9" s="9"/>
      <c r="V9" s="9"/>
      <c r="W9" s="9"/>
    </row>
    <row r="10" spans="1:23">
      <c r="A10" s="9"/>
      <c r="B10" s="9"/>
      <c r="C10" s="35"/>
      <c r="D10" s="38"/>
      <c r="E10" s="39"/>
      <c r="F10" s="37"/>
      <c r="G10" s="9"/>
      <c r="H10" s="9">
        <v>2016</v>
      </c>
      <c r="I10" s="45">
        <v>44300</v>
      </c>
      <c r="J10" s="9"/>
      <c r="K10" s="174">
        <v>19</v>
      </c>
      <c r="L10" s="175" t="s">
        <v>350</v>
      </c>
      <c r="M10" s="176">
        <v>29310</v>
      </c>
      <c r="N10" s="177" t="s">
        <v>338</v>
      </c>
      <c r="O10" s="256" t="s">
        <v>339</v>
      </c>
      <c r="P10" s="9"/>
      <c r="Q10" s="9"/>
      <c r="R10" s="9"/>
      <c r="S10" s="9"/>
      <c r="T10" s="9"/>
      <c r="U10" s="9"/>
      <c r="V10" s="9"/>
      <c r="W10" s="9"/>
    </row>
    <row r="11" spans="1:23" ht="13.5" thickBot="1">
      <c r="A11" s="9"/>
      <c r="B11" s="9"/>
      <c r="C11" s="40"/>
      <c r="D11" s="41"/>
      <c r="E11" s="42"/>
      <c r="F11" s="43"/>
      <c r="G11" s="9"/>
      <c r="H11" s="9">
        <v>2017</v>
      </c>
      <c r="I11" s="45">
        <v>44800</v>
      </c>
      <c r="J11" s="9"/>
      <c r="K11" s="174">
        <v>20</v>
      </c>
      <c r="L11" s="175" t="s">
        <v>351</v>
      </c>
      <c r="M11" s="176">
        <v>29310</v>
      </c>
      <c r="N11" s="177" t="s">
        <v>338</v>
      </c>
      <c r="O11" s="256" t="s">
        <v>339</v>
      </c>
      <c r="P11" s="9"/>
      <c r="Q11" s="120"/>
      <c r="R11" s="9"/>
      <c r="S11" s="9"/>
      <c r="T11" s="9"/>
      <c r="U11" s="9"/>
      <c r="V11" s="9"/>
      <c r="W11" s="9"/>
    </row>
    <row r="12" spans="1:23" ht="33.75" customHeight="1" thickBot="1">
      <c r="A12" s="9"/>
      <c r="B12" s="9"/>
      <c r="C12" s="9"/>
      <c r="D12" s="9"/>
      <c r="E12" s="9"/>
      <c r="F12" s="9"/>
      <c r="G12" s="9"/>
      <c r="H12" s="92">
        <v>2018</v>
      </c>
      <c r="I12" s="93">
        <v>45500</v>
      </c>
      <c r="J12" s="9"/>
      <c r="K12" s="174">
        <v>21</v>
      </c>
      <c r="L12" s="181" t="s">
        <v>352</v>
      </c>
      <c r="M12" s="176">
        <v>29310</v>
      </c>
      <c r="N12" s="177" t="s">
        <v>338</v>
      </c>
      <c r="O12" s="318" t="s">
        <v>339</v>
      </c>
      <c r="P12" s="9"/>
      <c r="Q12" s="120"/>
      <c r="R12" s="294" t="s">
        <v>353</v>
      </c>
      <c r="S12" s="9"/>
      <c r="T12" s="9"/>
      <c r="U12" s="9"/>
      <c r="V12" s="9"/>
      <c r="W12" s="9"/>
    </row>
    <row r="13" spans="1:23" ht="17.25" customHeight="1" thickTop="1" thickBot="1">
      <c r="A13" s="9"/>
      <c r="B13" s="9"/>
      <c r="C13" s="9"/>
      <c r="D13" s="334" t="s">
        <v>354</v>
      </c>
      <c r="E13" s="250">
        <f>E5*0.05</f>
        <v>2415</v>
      </c>
      <c r="F13" s="9"/>
      <c r="G13" s="9"/>
      <c r="H13" s="9"/>
      <c r="I13" s="9"/>
      <c r="J13" s="9"/>
      <c r="K13" s="174">
        <v>30</v>
      </c>
      <c r="L13" s="181" t="s">
        <v>355</v>
      </c>
      <c r="M13" s="176">
        <v>29330</v>
      </c>
      <c r="N13" s="177" t="s">
        <v>356</v>
      </c>
      <c r="O13" s="318" t="s">
        <v>339</v>
      </c>
      <c r="P13" s="9"/>
      <c r="Q13" s="9"/>
      <c r="R13" s="295"/>
      <c r="S13" s="9"/>
      <c r="T13" s="9"/>
      <c r="U13" s="290" t="s">
        <v>357</v>
      </c>
      <c r="V13" s="9"/>
      <c r="W13" s="9"/>
    </row>
    <row r="14" spans="1:23" ht="17.25" customHeight="1" thickBot="1">
      <c r="A14" s="9"/>
      <c r="B14" s="9"/>
      <c r="C14" s="9"/>
      <c r="D14" s="9"/>
      <c r="E14" s="9"/>
      <c r="F14" s="9"/>
      <c r="G14" s="120"/>
      <c r="H14" s="9">
        <v>2019</v>
      </c>
      <c r="I14" s="45">
        <v>46500</v>
      </c>
      <c r="J14" s="9"/>
      <c r="K14" s="174">
        <v>31</v>
      </c>
      <c r="L14" s="181" t="s">
        <v>358</v>
      </c>
      <c r="M14" s="176">
        <v>29330</v>
      </c>
      <c r="N14" s="177" t="s">
        <v>356</v>
      </c>
      <c r="O14" s="318" t="s">
        <v>339</v>
      </c>
      <c r="P14" s="9"/>
      <c r="Q14" s="9"/>
      <c r="R14" s="291" t="s">
        <v>290</v>
      </c>
      <c r="S14" s="9"/>
      <c r="T14" s="9"/>
      <c r="U14" s="291" t="s">
        <v>359</v>
      </c>
      <c r="V14" s="9"/>
      <c r="W14" s="9"/>
    </row>
    <row r="15" spans="1:23" ht="17.25" customHeight="1" thickTop="1" thickBot="1">
      <c r="A15" s="9"/>
      <c r="B15" s="9"/>
      <c r="C15" s="9"/>
      <c r="D15" s="334" t="s">
        <v>360</v>
      </c>
      <c r="E15" s="308">
        <f>SUM(E5*0.2)</f>
        <v>9660</v>
      </c>
      <c r="F15" s="9"/>
      <c r="G15" s="9"/>
      <c r="H15" s="9">
        <v>2020</v>
      </c>
      <c r="I15" s="45">
        <v>47300</v>
      </c>
      <c r="J15" s="9"/>
      <c r="K15" s="174">
        <v>32</v>
      </c>
      <c r="L15" s="181" t="s">
        <v>361</v>
      </c>
      <c r="M15" s="176">
        <v>29330</v>
      </c>
      <c r="N15" s="177" t="s">
        <v>356</v>
      </c>
      <c r="O15" s="318" t="s">
        <v>339</v>
      </c>
      <c r="P15" s="9"/>
      <c r="Q15" s="9"/>
      <c r="R15" s="291" t="s">
        <v>291</v>
      </c>
      <c r="S15" s="9"/>
      <c r="T15" s="9"/>
      <c r="U15" s="292"/>
      <c r="V15" s="9"/>
      <c r="W15" s="9"/>
    </row>
    <row r="16" spans="1:23" ht="17.25" customHeight="1" thickBot="1">
      <c r="A16" s="9"/>
      <c r="B16" s="9"/>
      <c r="C16" s="9"/>
      <c r="D16" s="9"/>
      <c r="E16" s="9"/>
      <c r="F16" s="9"/>
      <c r="G16" s="9"/>
      <c r="H16" s="9">
        <v>2021</v>
      </c>
      <c r="I16" s="45">
        <v>47600</v>
      </c>
      <c r="J16" s="9"/>
      <c r="K16" s="174">
        <v>33</v>
      </c>
      <c r="L16" s="181" t="s">
        <v>362</v>
      </c>
      <c r="M16" s="176">
        <v>29330</v>
      </c>
      <c r="N16" s="177" t="s">
        <v>356</v>
      </c>
      <c r="O16" s="318" t="s">
        <v>339</v>
      </c>
      <c r="P16" s="9"/>
      <c r="Q16" s="9"/>
      <c r="R16" s="291" t="s">
        <v>293</v>
      </c>
      <c r="S16" s="9"/>
      <c r="T16" s="9"/>
      <c r="U16" s="291" t="s">
        <v>363</v>
      </c>
      <c r="V16" s="9"/>
      <c r="W16" s="9"/>
    </row>
    <row r="17" spans="1:23" ht="17.25" customHeight="1" thickTop="1" thickBot="1">
      <c r="A17" s="9"/>
      <c r="B17" s="9"/>
      <c r="C17" s="9"/>
      <c r="D17" s="334" t="s">
        <v>364</v>
      </c>
      <c r="E17" s="308">
        <f>SUM(Sammandrag!AB27-AB26)*0.2</f>
        <v>0</v>
      </c>
      <c r="F17" s="9"/>
      <c r="G17" s="9"/>
      <c r="H17" s="7">
        <f>IF(E17&gt;E15,E15,E17)</f>
        <v>0</v>
      </c>
      <c r="I17" s="9"/>
      <c r="J17" s="9"/>
      <c r="K17" s="174">
        <v>34</v>
      </c>
      <c r="L17" s="181" t="s">
        <v>365</v>
      </c>
      <c r="M17" s="176">
        <v>29330</v>
      </c>
      <c r="N17" s="177" t="s">
        <v>356</v>
      </c>
      <c r="O17" s="318" t="s">
        <v>339</v>
      </c>
      <c r="P17" s="9"/>
      <c r="Q17" s="9"/>
      <c r="R17" s="291" t="s">
        <v>366</v>
      </c>
      <c r="S17" s="9"/>
      <c r="T17" s="9"/>
      <c r="U17" s="291" t="s">
        <v>322</v>
      </c>
      <c r="V17" s="9"/>
      <c r="W17" s="9"/>
    </row>
    <row r="18" spans="1:23" ht="13.5" thickBot="1">
      <c r="A18" s="9"/>
      <c r="B18" s="9"/>
      <c r="C18" s="9"/>
      <c r="D18" s="9"/>
      <c r="E18" s="9"/>
      <c r="F18" s="9"/>
      <c r="G18" s="9"/>
      <c r="H18" s="9"/>
      <c r="I18" s="9"/>
      <c r="J18" s="9"/>
      <c r="K18" s="174">
        <v>35</v>
      </c>
      <c r="L18" s="175" t="s">
        <v>367</v>
      </c>
      <c r="M18" s="176">
        <v>29330</v>
      </c>
      <c r="N18" s="177" t="s">
        <v>356</v>
      </c>
      <c r="O18" s="256" t="s">
        <v>368</v>
      </c>
      <c r="P18" s="9"/>
      <c r="Q18" s="9"/>
      <c r="R18" s="291" t="s">
        <v>369</v>
      </c>
      <c r="S18" s="9"/>
      <c r="T18" s="9"/>
      <c r="U18" s="293" t="s">
        <v>370</v>
      </c>
      <c r="V18" s="9"/>
      <c r="W18" s="9"/>
    </row>
    <row r="19" spans="1:23" ht="13.5" thickBot="1">
      <c r="A19" s="9"/>
      <c r="B19" s="9"/>
      <c r="C19" s="9"/>
      <c r="D19" s="9"/>
      <c r="E19" s="9"/>
      <c r="F19" s="9"/>
      <c r="G19" s="9"/>
      <c r="H19" s="9"/>
      <c r="I19" s="9"/>
      <c r="J19" s="120" t="s">
        <v>371</v>
      </c>
      <c r="K19" s="174">
        <v>36</v>
      </c>
      <c r="L19" s="175" t="s">
        <v>372</v>
      </c>
      <c r="M19" s="176">
        <v>29330</v>
      </c>
      <c r="N19" s="177" t="s">
        <v>356</v>
      </c>
      <c r="O19" s="256" t="s">
        <v>368</v>
      </c>
      <c r="P19" s="9"/>
      <c r="Q19" s="9"/>
      <c r="R19" s="293" t="s">
        <v>373</v>
      </c>
      <c r="S19" s="9"/>
      <c r="T19" s="9"/>
      <c r="U19" s="9"/>
      <c r="V19" s="9"/>
      <c r="W19" s="9"/>
    </row>
    <row r="20" spans="1:23">
      <c r="A20" s="9"/>
      <c r="B20" s="9"/>
      <c r="C20" s="9"/>
      <c r="D20" s="9"/>
      <c r="E20" s="9"/>
      <c r="F20" s="9"/>
      <c r="G20" s="9"/>
      <c r="H20" s="120" t="s">
        <v>374</v>
      </c>
      <c r="I20" s="9">
        <v>330.42</v>
      </c>
      <c r="J20" s="289">
        <v>4</v>
      </c>
      <c r="K20" s="174">
        <v>38</v>
      </c>
      <c r="L20" s="175" t="s">
        <v>375</v>
      </c>
      <c r="M20" s="176">
        <v>29320</v>
      </c>
      <c r="N20" s="177" t="s">
        <v>376</v>
      </c>
      <c r="O20" s="256" t="s">
        <v>368</v>
      </c>
      <c r="P20" s="9"/>
      <c r="Q20" s="9"/>
      <c r="R20" s="9"/>
      <c r="S20" s="9"/>
      <c r="T20" s="9"/>
      <c r="U20" s="290" t="s">
        <v>377</v>
      </c>
      <c r="V20" s="9"/>
      <c r="W20" s="9"/>
    </row>
    <row r="21" spans="1:23">
      <c r="A21" s="9"/>
      <c r="B21" s="9"/>
      <c r="C21" s="9"/>
      <c r="D21" s="9"/>
      <c r="E21" s="9"/>
      <c r="F21" s="9"/>
      <c r="G21" s="9"/>
      <c r="H21" s="120" t="s">
        <v>378</v>
      </c>
      <c r="I21" s="9">
        <v>336.04</v>
      </c>
      <c r="J21" s="289">
        <f>J20/I20*I21</f>
        <v>4.0680346226015374</v>
      </c>
      <c r="K21" s="174">
        <v>39</v>
      </c>
      <c r="L21" s="175" t="s">
        <v>379</v>
      </c>
      <c r="M21" s="176">
        <v>29320</v>
      </c>
      <c r="N21" s="177" t="s">
        <v>376</v>
      </c>
      <c r="O21" s="256" t="s">
        <v>368</v>
      </c>
      <c r="P21" s="9"/>
      <c r="Q21" s="9"/>
      <c r="R21" s="9"/>
      <c r="S21" s="9"/>
      <c r="T21" s="9"/>
      <c r="U21" s="291" t="s">
        <v>380</v>
      </c>
      <c r="V21" s="9"/>
      <c r="W21" s="9"/>
    </row>
    <row r="22" spans="1:23">
      <c r="A22" s="9"/>
      <c r="B22" s="9"/>
      <c r="C22" s="9"/>
      <c r="D22" s="9"/>
      <c r="E22" s="7">
        <f>SUM(Sammandrag!AB27-Sammandrag!AB28+Sammandrag!AB29)</f>
        <v>0</v>
      </c>
      <c r="F22" s="9"/>
      <c r="G22" s="9"/>
      <c r="H22" s="9" t="s">
        <v>381</v>
      </c>
      <c r="I22" s="9">
        <v>336.97</v>
      </c>
      <c r="J22" s="289">
        <v>4.08</v>
      </c>
      <c r="K22" s="174">
        <v>40</v>
      </c>
      <c r="L22" s="175" t="s">
        <v>382</v>
      </c>
      <c r="M22" s="176">
        <v>29320</v>
      </c>
      <c r="N22" s="177" t="s">
        <v>376</v>
      </c>
      <c r="O22" s="256" t="s">
        <v>368</v>
      </c>
      <c r="P22" s="9"/>
      <c r="Q22" s="310" t="s">
        <v>383</v>
      </c>
      <c r="R22" s="310"/>
      <c r="S22" s="9"/>
      <c r="T22" s="9"/>
      <c r="U22" s="291" t="s">
        <v>384</v>
      </c>
      <c r="V22" s="9"/>
      <c r="W22" s="9"/>
    </row>
    <row r="23" spans="1:23">
      <c r="A23" s="9"/>
      <c r="B23" s="9"/>
      <c r="C23" s="9"/>
      <c r="D23" s="9"/>
      <c r="E23" s="9"/>
      <c r="F23" s="9"/>
      <c r="G23" s="9"/>
      <c r="H23" s="120" t="s">
        <v>385</v>
      </c>
      <c r="I23" s="9">
        <v>346.44</v>
      </c>
      <c r="J23" s="289">
        <v>4.1900000000000004</v>
      </c>
      <c r="K23" s="174">
        <v>41</v>
      </c>
      <c r="L23" s="175" t="s">
        <v>386</v>
      </c>
      <c r="M23" s="176">
        <v>29320</v>
      </c>
      <c r="N23" s="177" t="s">
        <v>376</v>
      </c>
      <c r="O23" s="256" t="s">
        <v>368</v>
      </c>
      <c r="P23" s="9"/>
      <c r="Q23" s="312">
        <v>1</v>
      </c>
      <c r="R23" s="312">
        <v>1</v>
      </c>
      <c r="S23" s="9"/>
      <c r="T23" s="9"/>
      <c r="U23" s="292"/>
      <c r="V23" s="9"/>
      <c r="W23" s="9"/>
    </row>
    <row r="24" spans="1:23">
      <c r="A24" s="9"/>
      <c r="B24" s="9"/>
      <c r="C24" s="9"/>
      <c r="D24" s="9"/>
      <c r="E24" s="9"/>
      <c r="F24" s="9"/>
      <c r="G24" s="9"/>
      <c r="H24" s="9"/>
      <c r="I24" s="9"/>
      <c r="J24" s="289"/>
      <c r="K24" s="174">
        <v>42</v>
      </c>
      <c r="L24" s="175" t="s">
        <v>387</v>
      </c>
      <c r="M24" s="176">
        <v>29320</v>
      </c>
      <c r="N24" s="177" t="s">
        <v>376</v>
      </c>
      <c r="O24" s="256" t="s">
        <v>368</v>
      </c>
      <c r="P24" s="9"/>
      <c r="Q24" s="312">
        <v>2</v>
      </c>
      <c r="R24" s="312">
        <v>1.25</v>
      </c>
      <c r="S24" s="9"/>
      <c r="T24" s="9"/>
      <c r="U24" s="291" t="s">
        <v>388</v>
      </c>
      <c r="V24" s="9"/>
      <c r="W24" s="9"/>
    </row>
    <row r="25" spans="1:23" ht="13.5" thickBot="1">
      <c r="A25" s="9"/>
      <c r="B25" s="9"/>
      <c r="C25" s="9"/>
      <c r="D25" s="9"/>
      <c r="E25" s="9"/>
      <c r="F25" s="9"/>
      <c r="G25" s="9"/>
      <c r="H25" s="120"/>
      <c r="I25" s="9"/>
      <c r="J25" s="289"/>
      <c r="K25" s="174">
        <v>44</v>
      </c>
      <c r="L25" s="175" t="s">
        <v>389</v>
      </c>
      <c r="M25" s="176">
        <v>29330</v>
      </c>
      <c r="N25" s="177" t="s">
        <v>356</v>
      </c>
      <c r="O25" s="256" t="s">
        <v>339</v>
      </c>
      <c r="P25" s="9"/>
      <c r="Q25" s="312">
        <v>3</v>
      </c>
      <c r="R25" s="312">
        <v>1.5</v>
      </c>
      <c r="S25" s="9"/>
      <c r="T25" s="9"/>
      <c r="U25" s="293" t="s">
        <v>322</v>
      </c>
      <c r="V25" s="9"/>
      <c r="W25" s="9"/>
    </row>
    <row r="26" spans="1:23">
      <c r="A26" s="9"/>
      <c r="B26" s="9"/>
      <c r="C26" s="9"/>
      <c r="D26" s="9"/>
      <c r="E26" s="9"/>
      <c r="F26" s="9"/>
      <c r="G26" s="9"/>
      <c r="H26" s="9"/>
      <c r="I26" s="9"/>
      <c r="J26" s="289"/>
      <c r="K26" s="174">
        <v>45</v>
      </c>
      <c r="L26" s="175" t="s">
        <v>390</v>
      </c>
      <c r="M26" s="176">
        <v>29330</v>
      </c>
      <c r="N26" s="177" t="s">
        <v>356</v>
      </c>
      <c r="O26" s="256" t="s">
        <v>339</v>
      </c>
      <c r="P26" s="9"/>
      <c r="Q26" s="313">
        <v>4</v>
      </c>
      <c r="R26" s="313">
        <v>1.75</v>
      </c>
      <c r="S26" s="9"/>
      <c r="T26" s="9"/>
      <c r="U26" s="9"/>
      <c r="V26" s="9"/>
      <c r="W26" s="9"/>
    </row>
    <row r="27" spans="1:23">
      <c r="A27" s="9"/>
      <c r="B27" s="9"/>
      <c r="C27" s="9"/>
      <c r="D27" s="9"/>
      <c r="E27" s="9"/>
      <c r="F27" s="9"/>
      <c r="G27" s="9"/>
      <c r="H27" s="251" t="s">
        <v>391</v>
      </c>
      <c r="I27" s="9"/>
      <c r="J27" s="289"/>
      <c r="K27" s="174">
        <v>47</v>
      </c>
      <c r="L27" s="175" t="s">
        <v>392</v>
      </c>
      <c r="M27" s="176">
        <v>29330</v>
      </c>
      <c r="N27" s="177" t="s">
        <v>356</v>
      </c>
      <c r="O27" s="256" t="s">
        <v>339</v>
      </c>
      <c r="P27" s="9"/>
      <c r="Q27" s="314" t="str">
        <f>IF(Sammandrag!V19&gt;0,VLOOKUP(Sammandrag!Y19,Indata!Q23:R26,2,0),"")</f>
        <v/>
      </c>
      <c r="R27" s="311"/>
      <c r="S27" s="9"/>
      <c r="T27" s="9"/>
      <c r="U27" s="9"/>
      <c r="V27" s="9"/>
      <c r="W27" s="9"/>
    </row>
    <row r="28" spans="1:23">
      <c r="A28" s="9"/>
      <c r="B28" s="9"/>
      <c r="C28" s="9"/>
      <c r="D28" s="9"/>
      <c r="E28" s="9"/>
      <c r="F28" s="9"/>
      <c r="G28" s="9"/>
      <c r="H28" s="120" t="s">
        <v>393</v>
      </c>
      <c r="I28" s="9"/>
      <c r="J28" s="289"/>
      <c r="K28" s="174">
        <v>48</v>
      </c>
      <c r="L28" s="175" t="s">
        <v>348</v>
      </c>
      <c r="M28" s="176">
        <v>28000</v>
      </c>
      <c r="N28" s="177" t="s">
        <v>349</v>
      </c>
      <c r="O28" s="178"/>
      <c r="P28" s="9"/>
      <c r="Q28" s="9"/>
      <c r="R28" s="9"/>
      <c r="S28" s="9"/>
      <c r="T28" s="9"/>
      <c r="U28" s="9"/>
      <c r="V28" s="9"/>
      <c r="W28" s="9"/>
    </row>
    <row r="29" spans="1:23">
      <c r="A29" s="9"/>
      <c r="B29" s="9"/>
      <c r="C29" s="9"/>
      <c r="D29" s="9"/>
      <c r="E29" s="9"/>
      <c r="F29" s="9"/>
      <c r="G29" s="9"/>
      <c r="H29" s="9"/>
      <c r="I29" s="9"/>
      <c r="J29" s="289"/>
      <c r="K29" s="174">
        <v>48</v>
      </c>
      <c r="L29" s="175" t="s">
        <v>394</v>
      </c>
      <c r="M29" s="176">
        <v>28000</v>
      </c>
      <c r="N29" s="177" t="s">
        <v>395</v>
      </c>
      <c r="O29" s="256" t="s">
        <v>396</v>
      </c>
      <c r="P29" s="9"/>
      <c r="Q29" s="9"/>
      <c r="R29" s="311"/>
      <c r="S29" s="9"/>
      <c r="T29" s="9"/>
      <c r="U29" s="9"/>
      <c r="V29" s="9"/>
      <c r="W29" s="9"/>
    </row>
    <row r="30" spans="1:23">
      <c r="A30" s="9"/>
      <c r="B30" s="9"/>
      <c r="C30" s="9"/>
      <c r="D30" s="9"/>
      <c r="E30" s="9"/>
      <c r="F30" s="9"/>
      <c r="G30" s="9"/>
      <c r="H30" s="9"/>
      <c r="I30" s="9"/>
      <c r="J30" s="289"/>
      <c r="K30" s="174">
        <v>50</v>
      </c>
      <c r="L30" s="175" t="s">
        <v>397</v>
      </c>
      <c r="M30" s="176">
        <v>28000</v>
      </c>
      <c r="N30" s="177" t="s">
        <v>395</v>
      </c>
      <c r="O30" s="256" t="s">
        <v>396</v>
      </c>
      <c r="P30" s="9"/>
      <c r="Q30" s="9"/>
      <c r="R30" s="9"/>
      <c r="S30" s="9"/>
      <c r="T30" s="9"/>
      <c r="U30" s="9"/>
      <c r="V30" s="9"/>
      <c r="W30" s="9"/>
    </row>
    <row r="31" spans="1:23">
      <c r="A31" s="9"/>
      <c r="B31" s="9"/>
      <c r="C31" s="9"/>
      <c r="D31" s="9"/>
      <c r="E31" s="9"/>
      <c r="F31" s="9"/>
      <c r="G31" s="9"/>
      <c r="H31" s="9"/>
      <c r="I31" s="9"/>
      <c r="J31" s="289"/>
      <c r="K31" s="174">
        <v>51</v>
      </c>
      <c r="L31" s="175" t="s">
        <v>398</v>
      </c>
      <c r="M31" s="176">
        <v>28000</v>
      </c>
      <c r="N31" s="177" t="s">
        <v>395</v>
      </c>
      <c r="O31" s="256" t="s">
        <v>396</v>
      </c>
      <c r="P31" s="9"/>
      <c r="Q31" s="9"/>
      <c r="R31" s="9"/>
      <c r="S31" s="9"/>
      <c r="T31" s="9"/>
      <c r="U31" s="9"/>
      <c r="V31" s="9"/>
      <c r="W31" s="9"/>
    </row>
    <row r="32" spans="1:23">
      <c r="A32" s="9"/>
      <c r="B32" s="9"/>
      <c r="C32" s="9"/>
      <c r="D32" s="9"/>
      <c r="E32" s="9"/>
      <c r="F32" s="9"/>
      <c r="G32" s="9"/>
      <c r="H32" s="9"/>
      <c r="I32" s="9"/>
      <c r="J32" s="289"/>
      <c r="K32" s="174">
        <v>52</v>
      </c>
      <c r="L32" s="175" t="s">
        <v>399</v>
      </c>
      <c r="M32" s="176">
        <v>29330</v>
      </c>
      <c r="N32" s="177" t="s">
        <v>356</v>
      </c>
      <c r="O32" s="256" t="s">
        <v>368</v>
      </c>
      <c r="P32" s="9"/>
      <c r="Q32" s="9"/>
      <c r="R32" s="9"/>
      <c r="S32" s="9"/>
      <c r="T32" s="9"/>
      <c r="U32" s="9"/>
      <c r="V32" s="9"/>
      <c r="W32" s="9"/>
    </row>
    <row r="33" spans="1:23">
      <c r="A33" s="9"/>
      <c r="B33" s="9"/>
      <c r="C33" s="9"/>
      <c r="D33" s="9"/>
      <c r="E33" s="9"/>
      <c r="F33" s="9"/>
      <c r="G33" s="9"/>
      <c r="H33" s="9"/>
      <c r="I33" s="9"/>
      <c r="J33" s="288"/>
      <c r="K33" s="174">
        <v>53</v>
      </c>
      <c r="L33" s="175" t="s">
        <v>400</v>
      </c>
      <c r="M33" s="176">
        <v>29330</v>
      </c>
      <c r="N33" s="177" t="s">
        <v>356</v>
      </c>
      <c r="O33" s="256" t="s">
        <v>339</v>
      </c>
      <c r="P33" s="9"/>
      <c r="Q33" s="9"/>
      <c r="R33" s="9"/>
      <c r="S33" s="9"/>
      <c r="T33" s="9"/>
      <c r="U33" s="9"/>
      <c r="V33" s="9"/>
      <c r="W33" s="9"/>
    </row>
    <row r="34" spans="1:23">
      <c r="A34" s="9"/>
      <c r="B34" s="9"/>
      <c r="C34" s="9"/>
      <c r="D34" s="9"/>
      <c r="E34" s="9"/>
      <c r="F34" s="9"/>
      <c r="G34" s="9"/>
      <c r="H34" s="9"/>
      <c r="I34" s="9"/>
      <c r="J34" s="9"/>
      <c r="K34" s="174">
        <v>54</v>
      </c>
      <c r="L34" s="175" t="s">
        <v>401</v>
      </c>
      <c r="M34" s="176">
        <v>29330</v>
      </c>
      <c r="N34" s="177" t="s">
        <v>356</v>
      </c>
      <c r="O34" s="256" t="s">
        <v>339</v>
      </c>
      <c r="P34" s="9"/>
      <c r="Q34" s="9"/>
      <c r="R34" s="9"/>
      <c r="S34" s="9"/>
      <c r="T34" s="9"/>
      <c r="U34" s="9"/>
      <c r="V34" s="9"/>
      <c r="W34" s="9"/>
    </row>
    <row r="35" spans="1:23">
      <c r="A35" s="9"/>
      <c r="B35" s="9"/>
      <c r="C35" s="9"/>
      <c r="D35" s="9"/>
      <c r="E35" s="9"/>
      <c r="F35" s="9"/>
      <c r="G35" s="9"/>
      <c r="H35" s="9"/>
      <c r="I35" s="9"/>
      <c r="J35" s="9"/>
      <c r="K35" s="174">
        <v>60</v>
      </c>
      <c r="L35" s="175" t="s">
        <v>402</v>
      </c>
      <c r="M35" s="176">
        <v>29330</v>
      </c>
      <c r="N35" s="177" t="s">
        <v>356</v>
      </c>
      <c r="O35" s="256" t="s">
        <v>368</v>
      </c>
      <c r="P35" s="9"/>
      <c r="Q35" s="9"/>
      <c r="R35" s="9"/>
      <c r="S35" s="9"/>
      <c r="T35" s="9"/>
      <c r="U35" s="9"/>
      <c r="V35" s="9"/>
      <c r="W35" s="9"/>
    </row>
    <row r="36" spans="1:23">
      <c r="A36" s="9"/>
      <c r="B36" s="9"/>
      <c r="C36" s="9"/>
      <c r="D36" s="9"/>
      <c r="E36" s="9"/>
      <c r="F36" s="9"/>
      <c r="G36" s="9"/>
      <c r="H36" s="9"/>
      <c r="I36" s="9"/>
      <c r="J36" s="9"/>
      <c r="K36" s="174">
        <v>61</v>
      </c>
      <c r="L36" s="175" t="s">
        <v>403</v>
      </c>
      <c r="M36" s="176">
        <v>28000</v>
      </c>
      <c r="N36" s="177" t="s">
        <v>395</v>
      </c>
      <c r="O36" s="256" t="s">
        <v>396</v>
      </c>
      <c r="P36" s="9"/>
      <c r="Q36" s="9"/>
      <c r="R36" s="9"/>
      <c r="S36" s="9"/>
      <c r="T36" s="9"/>
      <c r="U36" s="9"/>
      <c r="V36" s="9"/>
      <c r="W36" s="9"/>
    </row>
    <row r="37" spans="1:23">
      <c r="A37" s="9"/>
      <c r="B37" s="9"/>
      <c r="C37" s="9"/>
      <c r="D37" s="9"/>
      <c r="E37" s="9"/>
      <c r="F37" s="9"/>
      <c r="G37" s="9"/>
      <c r="H37" s="9"/>
      <c r="I37" s="9"/>
      <c r="J37" s="9"/>
      <c r="K37" s="174">
        <v>62</v>
      </c>
      <c r="L37" s="175" t="s">
        <v>404</v>
      </c>
      <c r="M37" s="176">
        <v>28000</v>
      </c>
      <c r="N37" s="177" t="s">
        <v>395</v>
      </c>
      <c r="O37" s="256" t="s">
        <v>396</v>
      </c>
      <c r="P37" s="9"/>
      <c r="Q37" s="9"/>
      <c r="R37" s="9"/>
      <c r="S37" s="9"/>
      <c r="T37" s="9"/>
      <c r="U37" s="9"/>
      <c r="V37" s="9"/>
      <c r="W37" s="9"/>
    </row>
    <row r="38" spans="1:23">
      <c r="A38" s="9"/>
      <c r="B38" s="9"/>
      <c r="C38" s="9"/>
      <c r="D38" s="9"/>
      <c r="E38" s="9"/>
      <c r="F38" s="9"/>
      <c r="G38" s="9"/>
      <c r="H38" s="9"/>
      <c r="I38" s="9"/>
      <c r="J38" s="9"/>
      <c r="K38" s="174">
        <v>63</v>
      </c>
      <c r="L38" s="175" t="s">
        <v>405</v>
      </c>
      <c r="M38" s="176">
        <v>28000</v>
      </c>
      <c r="N38" s="177" t="s">
        <v>395</v>
      </c>
      <c r="O38" s="256" t="s">
        <v>396</v>
      </c>
      <c r="P38" s="9"/>
      <c r="Q38" s="9"/>
      <c r="R38" s="9"/>
      <c r="S38" s="9"/>
      <c r="T38" s="9"/>
      <c r="U38" s="9"/>
      <c r="V38" s="9"/>
      <c r="W38" s="9"/>
    </row>
    <row r="39" spans="1:23" ht="13.5" thickBot="1">
      <c r="A39" s="9"/>
      <c r="B39" s="9"/>
      <c r="C39" s="9"/>
      <c r="D39" s="9"/>
      <c r="E39" s="9"/>
      <c r="F39" s="9"/>
      <c r="G39" s="9"/>
      <c r="H39" s="9"/>
      <c r="I39" s="9"/>
      <c r="J39" s="9"/>
      <c r="K39" s="179">
        <v>64</v>
      </c>
      <c r="L39" s="320" t="s">
        <v>406</v>
      </c>
      <c r="M39" s="180">
        <v>29330</v>
      </c>
      <c r="N39" s="180" t="s">
        <v>356</v>
      </c>
      <c r="O39" s="321" t="s">
        <v>368</v>
      </c>
      <c r="P39" s="9"/>
      <c r="Q39" s="9"/>
      <c r="R39" s="9"/>
      <c r="S39" s="9"/>
      <c r="T39" s="9"/>
      <c r="U39" s="9"/>
      <c r="V39" s="9"/>
      <c r="W39" s="9"/>
    </row>
    <row r="40" spans="1:23">
      <c r="A40" s="9"/>
      <c r="B40" s="9"/>
      <c r="C40" s="9"/>
      <c r="D40" s="9"/>
      <c r="E40" s="9"/>
      <c r="F40" s="9"/>
      <c r="G40" s="9"/>
      <c r="H40" s="9"/>
      <c r="I40" s="9"/>
      <c r="J40" s="9"/>
      <c r="K40" s="9"/>
      <c r="L40" s="9"/>
      <c r="M40" s="9"/>
      <c r="N40" s="9"/>
      <c r="O40" s="9"/>
      <c r="P40" s="9"/>
      <c r="Q40" s="9"/>
      <c r="R40" s="9"/>
      <c r="S40" s="9"/>
      <c r="T40" s="9"/>
      <c r="U40" s="9"/>
      <c r="V40" s="9"/>
      <c r="W40" s="9"/>
    </row>
    <row r="41" spans="1:23">
      <c r="A41" s="9"/>
      <c r="B41" s="9"/>
      <c r="C41" s="9"/>
      <c r="D41" s="9"/>
      <c r="E41" s="9"/>
      <c r="F41" s="9"/>
      <c r="G41" s="9"/>
      <c r="H41" s="9"/>
      <c r="I41" s="9"/>
      <c r="J41" s="9"/>
      <c r="K41" s="9"/>
      <c r="L41" s="9"/>
      <c r="M41" s="9"/>
      <c r="N41" s="9"/>
      <c r="O41" s="9"/>
      <c r="P41" s="9"/>
      <c r="Q41" s="9"/>
      <c r="R41" s="9"/>
      <c r="S41" s="9"/>
      <c r="T41" s="9"/>
      <c r="U41" s="9"/>
      <c r="V41" s="9"/>
      <c r="W41" s="9"/>
    </row>
    <row r="42" spans="1:23">
      <c r="A42" s="9"/>
      <c r="B42" s="9"/>
      <c r="C42" s="9"/>
      <c r="D42" s="9"/>
      <c r="E42" s="9"/>
      <c r="F42" s="9"/>
      <c r="G42" s="9"/>
      <c r="H42" s="9"/>
      <c r="I42" s="9"/>
      <c r="J42" s="9"/>
      <c r="K42" s="9"/>
      <c r="L42" s="9"/>
      <c r="M42" s="9"/>
      <c r="N42" s="9"/>
      <c r="O42" s="9"/>
      <c r="P42" s="9"/>
      <c r="Q42" s="9"/>
      <c r="R42" s="9"/>
      <c r="S42" s="9"/>
      <c r="T42" s="9"/>
      <c r="U42" s="9"/>
      <c r="V42" s="9"/>
      <c r="W42" s="9"/>
    </row>
    <row r="43" spans="1:23">
      <c r="A43" s="9"/>
      <c r="B43" s="9"/>
      <c r="C43" s="9"/>
      <c r="D43" s="9"/>
      <c r="E43" s="9"/>
      <c r="F43" s="9"/>
      <c r="G43" s="9"/>
      <c r="H43" s="9"/>
      <c r="I43" s="9"/>
      <c r="J43" s="9"/>
      <c r="K43" s="9"/>
      <c r="L43" s="9"/>
      <c r="M43" s="9"/>
      <c r="N43" s="9"/>
      <c r="O43" s="9"/>
      <c r="P43" s="9"/>
      <c r="Q43" s="9"/>
      <c r="R43" s="9"/>
      <c r="S43" s="9"/>
      <c r="T43" s="9"/>
      <c r="U43" s="9"/>
      <c r="V43" s="9"/>
      <c r="W43" s="9"/>
    </row>
    <row r="44" spans="1:23">
      <c r="A44" s="9"/>
      <c r="B44" s="9"/>
      <c r="C44" s="9"/>
      <c r="D44" s="9"/>
      <c r="E44" s="9"/>
      <c r="F44" s="9"/>
      <c r="G44" s="9"/>
      <c r="H44" s="9"/>
      <c r="I44" s="9"/>
      <c r="J44" s="9"/>
      <c r="K44" s="9"/>
      <c r="L44" s="9"/>
      <c r="M44" s="9"/>
      <c r="N44" s="9"/>
      <c r="O44" s="9"/>
      <c r="P44" s="9"/>
      <c r="Q44" s="9"/>
      <c r="R44" s="9"/>
      <c r="S44" s="9"/>
      <c r="T44" s="9"/>
      <c r="U44" s="9"/>
      <c r="V44" s="9"/>
      <c r="W44" s="9"/>
    </row>
    <row r="45" spans="1:23">
      <c r="A45" s="9"/>
      <c r="B45" s="9"/>
      <c r="C45" s="9"/>
      <c r="D45" s="9"/>
      <c r="E45" s="9"/>
      <c r="F45" s="9"/>
      <c r="G45" s="9"/>
      <c r="H45" s="9"/>
      <c r="I45" s="9"/>
      <c r="J45" s="9"/>
      <c r="K45" s="9"/>
      <c r="L45" s="9"/>
      <c r="M45" s="9"/>
      <c r="N45" s="9"/>
      <c r="O45" s="9"/>
      <c r="P45" s="9"/>
      <c r="Q45" s="9"/>
      <c r="R45" s="9"/>
      <c r="S45" s="9"/>
      <c r="T45" s="9"/>
      <c r="U45" s="9"/>
      <c r="V45" s="9"/>
      <c r="W45" s="9"/>
    </row>
    <row r="46" spans="1:23">
      <c r="A46" s="9"/>
      <c r="B46" s="9"/>
      <c r="C46" s="9"/>
      <c r="D46" s="9"/>
      <c r="E46" s="9"/>
      <c r="F46" s="9"/>
      <c r="G46" s="9"/>
      <c r="H46" s="9"/>
      <c r="I46" s="9"/>
      <c r="J46" s="9"/>
      <c r="K46" s="9"/>
      <c r="L46" s="9"/>
      <c r="M46" s="9"/>
      <c r="N46" s="9"/>
      <c r="O46" s="9"/>
      <c r="P46" s="9"/>
      <c r="Q46" s="9"/>
      <c r="R46" s="9"/>
      <c r="S46" s="9"/>
      <c r="T46" s="9"/>
      <c r="U46" s="9"/>
      <c r="V46" s="9"/>
      <c r="W46" s="9"/>
    </row>
    <row r="47" spans="1:23">
      <c r="A47" s="9"/>
      <c r="B47" s="9"/>
      <c r="C47" s="9"/>
      <c r="D47" s="9"/>
      <c r="E47" s="9"/>
      <c r="F47" s="9"/>
      <c r="G47" s="9"/>
      <c r="H47" s="9"/>
      <c r="I47" s="9"/>
      <c r="J47" s="9"/>
      <c r="K47" s="9"/>
      <c r="L47" s="9"/>
      <c r="M47" s="9"/>
      <c r="N47" s="9"/>
      <c r="O47" s="9"/>
      <c r="P47" s="9"/>
      <c r="Q47" s="9"/>
      <c r="R47" s="9"/>
      <c r="S47" s="9"/>
      <c r="T47" s="9"/>
      <c r="U47" s="9"/>
      <c r="V47" s="9"/>
      <c r="W47" s="9"/>
    </row>
    <row r="48" spans="1:23">
      <c r="A48" s="9"/>
      <c r="B48" s="9"/>
      <c r="C48" s="9"/>
      <c r="D48" s="9"/>
      <c r="E48" s="9"/>
      <c r="F48" s="9"/>
      <c r="G48" s="9"/>
      <c r="H48" s="9"/>
      <c r="I48" s="9"/>
      <c r="J48" s="9"/>
      <c r="K48" s="9"/>
      <c r="L48" s="9"/>
      <c r="M48" s="9"/>
      <c r="N48" s="9"/>
      <c r="O48" s="9"/>
      <c r="P48" s="9"/>
      <c r="Q48" s="9"/>
      <c r="R48" s="9"/>
      <c r="S48" s="9"/>
      <c r="T48" s="9"/>
      <c r="U48" s="9"/>
      <c r="V48" s="9"/>
      <c r="W48" s="9"/>
    </row>
    <row r="49" spans="1:23">
      <c r="A49" s="9"/>
      <c r="B49" s="9"/>
      <c r="C49" s="9"/>
      <c r="D49" s="9"/>
      <c r="E49" s="9"/>
      <c r="F49" s="9"/>
      <c r="G49" s="9"/>
      <c r="H49" s="9"/>
      <c r="I49" s="9"/>
      <c r="J49" s="9"/>
      <c r="K49" s="9"/>
      <c r="L49" s="9"/>
      <c r="M49" s="9"/>
      <c r="N49" s="9"/>
      <c r="O49" s="9"/>
      <c r="P49" s="9"/>
      <c r="Q49" s="9"/>
      <c r="R49" s="9"/>
      <c r="S49" s="9"/>
      <c r="T49" s="9"/>
      <c r="U49" s="9"/>
      <c r="V49" s="9"/>
      <c r="W49" s="9"/>
    </row>
    <row r="50" spans="1:23">
      <c r="A50" s="9"/>
      <c r="B50" s="9"/>
      <c r="C50" s="9"/>
      <c r="D50" s="9"/>
      <c r="E50" s="9"/>
      <c r="F50" s="9"/>
      <c r="G50" s="9"/>
      <c r="H50" s="9"/>
      <c r="I50" s="9"/>
      <c r="J50" s="9"/>
      <c r="K50" s="9"/>
      <c r="L50" s="9"/>
      <c r="M50" s="9"/>
      <c r="N50" s="9"/>
      <c r="O50" s="9"/>
      <c r="P50" s="9"/>
      <c r="Q50" s="9"/>
      <c r="R50" s="9"/>
      <c r="S50" s="9"/>
      <c r="T50" s="9"/>
      <c r="U50" s="9"/>
      <c r="V50" s="9"/>
      <c r="W50" s="9"/>
    </row>
    <row r="51" spans="1:23">
      <c r="A51" s="9"/>
      <c r="B51" s="9"/>
      <c r="C51" s="9"/>
      <c r="D51" s="9"/>
      <c r="E51" s="9"/>
      <c r="F51" s="9"/>
      <c r="G51" s="9"/>
      <c r="H51" s="9"/>
      <c r="I51" s="9"/>
      <c r="J51" s="9"/>
      <c r="K51" s="9"/>
      <c r="L51" s="9"/>
      <c r="M51" s="9"/>
      <c r="N51" s="9"/>
      <c r="O51" s="9"/>
      <c r="P51" s="9"/>
      <c r="Q51" s="9"/>
      <c r="R51" s="9"/>
      <c r="S51" s="9"/>
      <c r="T51" s="9"/>
      <c r="U51" s="9"/>
      <c r="V51" s="9"/>
      <c r="W51" s="9"/>
    </row>
    <row r="52" spans="1:23">
      <c r="A52" s="9"/>
      <c r="B52" s="9"/>
      <c r="C52" s="9"/>
      <c r="D52" s="9"/>
      <c r="E52" s="9"/>
      <c r="F52" s="9"/>
      <c r="G52" s="9"/>
      <c r="H52" s="9"/>
      <c r="I52" s="9"/>
      <c r="J52" s="9"/>
      <c r="K52" s="9"/>
      <c r="L52" s="9"/>
      <c r="M52" s="9"/>
      <c r="N52" s="9"/>
      <c r="O52" s="9"/>
      <c r="P52" s="9"/>
      <c r="Q52" s="9"/>
      <c r="R52" s="9"/>
      <c r="S52" s="9"/>
      <c r="T52" s="9"/>
      <c r="U52" s="9"/>
      <c r="V52" s="9"/>
      <c r="W52" s="9"/>
    </row>
    <row r="53" spans="1:23">
      <c r="A53" s="9"/>
      <c r="B53" s="9"/>
      <c r="C53" s="9"/>
      <c r="D53" s="9"/>
      <c r="E53" s="9"/>
      <c r="F53" s="9"/>
      <c r="G53" s="9"/>
      <c r="H53" s="9"/>
      <c r="I53" s="9"/>
      <c r="J53" s="9"/>
      <c r="K53" s="9"/>
      <c r="L53" s="9"/>
      <c r="M53" s="9"/>
      <c r="N53" s="9"/>
      <c r="O53" s="9"/>
      <c r="P53" s="9"/>
      <c r="Q53" s="9"/>
      <c r="R53" s="9"/>
      <c r="S53" s="9"/>
      <c r="T53" s="9"/>
      <c r="U53" s="9"/>
      <c r="V53" s="9"/>
      <c r="W53" s="9"/>
    </row>
    <row r="54" spans="1:23">
      <c r="A54" s="9"/>
      <c r="B54" s="9"/>
      <c r="C54" s="9"/>
      <c r="D54" s="9"/>
      <c r="E54" s="9"/>
      <c r="F54" s="9"/>
      <c r="G54" s="9"/>
      <c r="H54" s="9"/>
      <c r="I54" s="9"/>
      <c r="J54" s="9"/>
      <c r="K54" s="9"/>
      <c r="L54" s="9"/>
      <c r="M54" s="9"/>
      <c r="N54" s="9"/>
      <c r="O54" s="9"/>
      <c r="P54" s="9"/>
      <c r="Q54" s="9"/>
      <c r="R54" s="9"/>
      <c r="S54" s="9"/>
      <c r="T54" s="9"/>
      <c r="U54" s="9"/>
      <c r="V54" s="9"/>
      <c r="W54" s="9"/>
    </row>
    <row r="55" spans="1:23">
      <c r="A55" s="9"/>
      <c r="B55" s="9"/>
      <c r="C55" s="9"/>
      <c r="D55" s="9"/>
      <c r="E55" s="9"/>
      <c r="F55" s="9"/>
      <c r="G55" s="9"/>
      <c r="H55" s="9"/>
      <c r="I55" s="9"/>
      <c r="J55" s="9"/>
      <c r="K55" s="9"/>
      <c r="L55" s="9"/>
      <c r="M55" s="9"/>
      <c r="N55" s="9"/>
      <c r="O55" s="9"/>
      <c r="P55" s="9"/>
      <c r="Q55" s="9"/>
      <c r="R55" s="9"/>
      <c r="S55" s="9"/>
      <c r="T55" s="9"/>
      <c r="U55" s="9"/>
      <c r="V55" s="9"/>
      <c r="W55" s="9"/>
    </row>
    <row r="56" spans="1:23">
      <c r="A56" s="9"/>
      <c r="B56" s="9"/>
      <c r="C56" s="9"/>
      <c r="D56" s="9"/>
      <c r="E56" s="9"/>
      <c r="F56" s="9"/>
      <c r="G56" s="9"/>
      <c r="H56" s="9"/>
      <c r="I56" s="9"/>
      <c r="J56" s="9"/>
      <c r="K56" s="9"/>
      <c r="L56" s="9"/>
      <c r="M56" s="9"/>
      <c r="N56" s="9"/>
      <c r="O56" s="9"/>
      <c r="P56" s="9"/>
      <c r="Q56" s="9"/>
      <c r="R56" s="9"/>
      <c r="S56" s="9"/>
      <c r="T56" s="9"/>
      <c r="U56" s="9"/>
      <c r="V56" s="9"/>
      <c r="W56" s="9"/>
    </row>
    <row r="57" spans="1:23">
      <c r="A57" s="9"/>
      <c r="B57" s="9"/>
      <c r="C57" s="9"/>
      <c r="D57" s="9"/>
      <c r="E57" s="9"/>
      <c r="F57" s="9"/>
      <c r="G57" s="9"/>
      <c r="H57" s="9"/>
      <c r="I57" s="9"/>
      <c r="J57" s="9"/>
      <c r="K57" s="9"/>
      <c r="L57" s="9"/>
      <c r="M57" s="9"/>
      <c r="N57" s="9"/>
      <c r="O57" s="9"/>
      <c r="P57" s="9"/>
      <c r="Q57" s="9"/>
      <c r="R57" s="9"/>
      <c r="S57" s="9"/>
      <c r="T57" s="9"/>
      <c r="U57" s="9"/>
      <c r="V57" s="9"/>
      <c r="W57" s="9"/>
    </row>
    <row r="58" spans="1:23">
      <c r="A58" s="9"/>
      <c r="B58" s="9"/>
      <c r="C58" s="9"/>
      <c r="D58" s="9"/>
      <c r="E58" s="9"/>
      <c r="F58" s="9"/>
      <c r="G58" s="9"/>
      <c r="H58" s="9"/>
      <c r="I58" s="9"/>
      <c r="J58" s="9"/>
      <c r="K58" s="9"/>
      <c r="L58" s="9"/>
      <c r="M58" s="9"/>
      <c r="N58" s="9"/>
      <c r="O58" s="9"/>
      <c r="P58" s="9"/>
      <c r="Q58" s="9"/>
      <c r="R58" s="9"/>
      <c r="S58" s="9"/>
      <c r="T58" s="9"/>
      <c r="U58" s="9"/>
      <c r="V58" s="9"/>
      <c r="W58" s="9"/>
    </row>
    <row r="59" spans="1:23">
      <c r="A59" s="9"/>
      <c r="B59" s="9"/>
      <c r="C59" s="9"/>
      <c r="D59" s="9"/>
      <c r="E59" s="9"/>
      <c r="F59" s="9"/>
      <c r="G59" s="9"/>
      <c r="H59" s="9"/>
      <c r="I59" s="9"/>
      <c r="J59" s="9"/>
      <c r="K59" s="9"/>
      <c r="L59" s="9"/>
      <c r="M59" s="9"/>
      <c r="N59" s="9"/>
      <c r="O59" s="9"/>
      <c r="P59" s="9"/>
      <c r="Q59" s="9"/>
      <c r="R59" s="9"/>
      <c r="S59" s="9"/>
      <c r="T59" s="9"/>
      <c r="U59" s="9"/>
      <c r="V59" s="9"/>
      <c r="W59" s="9"/>
    </row>
    <row r="60" spans="1:23">
      <c r="A60" s="9"/>
      <c r="B60" s="9"/>
      <c r="C60" s="9"/>
      <c r="D60" s="9"/>
      <c r="E60" s="9"/>
      <c r="F60" s="9"/>
      <c r="G60" s="9"/>
      <c r="H60" s="9"/>
      <c r="I60" s="9"/>
      <c r="J60" s="9"/>
      <c r="K60" s="9"/>
      <c r="L60" s="9"/>
      <c r="M60" s="9"/>
      <c r="N60" s="9"/>
      <c r="O60" s="9"/>
      <c r="P60" s="9"/>
      <c r="Q60" s="9"/>
      <c r="R60" s="9"/>
      <c r="S60" s="9"/>
      <c r="T60" s="9"/>
      <c r="U60" s="9"/>
      <c r="V60" s="9"/>
      <c r="W60" s="9"/>
    </row>
    <row r="61" spans="1:23">
      <c r="A61" s="9"/>
      <c r="B61" s="9"/>
      <c r="C61" s="9"/>
      <c r="D61" s="9"/>
      <c r="E61" s="9"/>
      <c r="F61" s="9"/>
      <c r="G61" s="9"/>
      <c r="H61" s="9"/>
      <c r="I61" s="9"/>
      <c r="J61" s="9"/>
      <c r="K61" s="9"/>
      <c r="L61" s="9"/>
      <c r="M61" s="9"/>
      <c r="N61" s="9"/>
      <c r="O61" s="9"/>
      <c r="P61" s="9"/>
      <c r="Q61" s="9"/>
      <c r="R61" s="9"/>
      <c r="S61" s="9"/>
      <c r="T61" s="9"/>
      <c r="U61" s="9"/>
      <c r="V61" s="9"/>
      <c r="W61" s="9"/>
    </row>
    <row r="62" spans="1:23">
      <c r="A62" s="9"/>
      <c r="B62" s="9"/>
      <c r="C62" s="9"/>
      <c r="D62" s="9"/>
      <c r="E62" s="9"/>
      <c r="F62" s="9"/>
      <c r="G62" s="9"/>
      <c r="H62" s="9"/>
      <c r="I62" s="9"/>
      <c r="J62" s="9"/>
      <c r="K62" s="9"/>
      <c r="L62" s="9"/>
      <c r="M62" s="9"/>
      <c r="N62" s="9"/>
      <c r="O62" s="9"/>
      <c r="P62" s="9"/>
      <c r="Q62" s="9"/>
      <c r="R62" s="9"/>
      <c r="S62" s="9"/>
      <c r="T62" s="9"/>
      <c r="U62" s="9"/>
      <c r="V62" s="9"/>
      <c r="W62" s="9"/>
    </row>
    <row r="63" spans="1:23">
      <c r="A63" s="9"/>
      <c r="B63" s="9"/>
      <c r="C63" s="9"/>
      <c r="D63" s="9"/>
      <c r="E63" s="9"/>
      <c r="F63" s="9"/>
      <c r="G63" s="9"/>
      <c r="H63" s="9"/>
      <c r="I63" s="9"/>
      <c r="J63" s="9"/>
      <c r="K63" s="9"/>
      <c r="L63" s="9"/>
      <c r="M63" s="9"/>
      <c r="N63" s="9"/>
      <c r="O63" s="9"/>
      <c r="P63" s="9"/>
      <c r="Q63" s="9"/>
      <c r="R63" s="9"/>
      <c r="S63" s="9"/>
      <c r="T63" s="9"/>
      <c r="U63" s="9"/>
      <c r="V63" s="9"/>
      <c r="W63" s="9"/>
    </row>
    <row r="64" spans="1:23">
      <c r="A64" s="9"/>
      <c r="B64" s="9"/>
      <c r="C64" s="9"/>
      <c r="D64" s="9"/>
      <c r="E64" s="9"/>
      <c r="F64" s="9"/>
      <c r="G64" s="9"/>
      <c r="H64" s="9"/>
      <c r="I64" s="9"/>
      <c r="J64" s="9"/>
      <c r="K64" s="9"/>
      <c r="L64" s="9"/>
      <c r="M64" s="9"/>
      <c r="N64" s="9"/>
      <c r="O64" s="9"/>
      <c r="P64" s="9"/>
      <c r="Q64" s="9"/>
      <c r="R64" s="9"/>
      <c r="S64" s="9"/>
      <c r="T64" s="9"/>
      <c r="U64" s="9"/>
      <c r="V64" s="9"/>
      <c r="W64" s="9"/>
    </row>
    <row r="65" spans="1:23">
      <c r="A65" s="9"/>
      <c r="B65" s="9"/>
      <c r="C65" s="9"/>
      <c r="D65" s="9"/>
      <c r="E65" s="9"/>
      <c r="F65" s="9"/>
      <c r="G65" s="9"/>
      <c r="H65" s="9"/>
      <c r="I65" s="9"/>
      <c r="J65" s="9"/>
      <c r="K65" s="9"/>
      <c r="L65" s="9"/>
      <c r="M65" s="9"/>
      <c r="N65" s="9"/>
      <c r="O65" s="9"/>
      <c r="P65" s="9"/>
      <c r="Q65" s="9"/>
      <c r="R65" s="9"/>
      <c r="S65" s="9"/>
      <c r="T65" s="9"/>
      <c r="U65" s="9"/>
      <c r="V65" s="9"/>
      <c r="W65" s="9"/>
    </row>
    <row r="66" spans="1:23">
      <c r="A66" s="9"/>
      <c r="B66" s="9"/>
      <c r="C66" s="9"/>
      <c r="D66" s="9"/>
      <c r="E66" s="9"/>
      <c r="F66" s="9"/>
      <c r="G66" s="9"/>
      <c r="H66" s="9"/>
      <c r="I66" s="9"/>
      <c r="J66" s="9"/>
      <c r="K66" s="9"/>
      <c r="L66" s="9"/>
      <c r="M66" s="9"/>
      <c r="N66" s="9"/>
      <c r="O66" s="9"/>
      <c r="P66" s="9"/>
      <c r="Q66" s="9"/>
      <c r="R66" s="9"/>
      <c r="S66" s="9"/>
      <c r="T66" s="9"/>
      <c r="U66" s="9"/>
      <c r="V66" s="9"/>
      <c r="W66" s="9"/>
    </row>
    <row r="67" spans="1:23">
      <c r="A67" s="9"/>
      <c r="B67" s="9"/>
      <c r="C67" s="9"/>
      <c r="D67" s="9"/>
      <c r="E67" s="9"/>
      <c r="F67" s="9"/>
      <c r="G67" s="9"/>
      <c r="H67" s="9"/>
      <c r="I67" s="9"/>
      <c r="J67" s="9"/>
      <c r="K67" s="9"/>
      <c r="L67" s="9"/>
      <c r="M67" s="9"/>
      <c r="N67" s="9"/>
      <c r="O67" s="9"/>
      <c r="P67" s="9"/>
      <c r="Q67" s="9"/>
      <c r="R67" s="9"/>
      <c r="S67" s="9"/>
      <c r="T67" s="9"/>
      <c r="U67" s="9"/>
      <c r="V67" s="9"/>
      <c r="W67" s="9"/>
    </row>
    <row r="68" spans="1:23">
      <c r="A68" s="9"/>
      <c r="B68" s="9"/>
      <c r="C68" s="9"/>
      <c r="D68" s="9"/>
      <c r="E68" s="9"/>
      <c r="F68" s="9"/>
      <c r="G68" s="9"/>
      <c r="H68" s="9"/>
      <c r="I68" s="9"/>
      <c r="J68" s="9"/>
      <c r="K68" s="9"/>
      <c r="L68" s="9"/>
      <c r="M68" s="9"/>
      <c r="N68" s="9"/>
      <c r="O68" s="9"/>
      <c r="P68" s="9"/>
      <c r="Q68" s="9"/>
      <c r="R68" s="9"/>
      <c r="S68" s="9"/>
      <c r="T68" s="9"/>
      <c r="U68" s="9"/>
      <c r="V68" s="9"/>
      <c r="W68" s="9"/>
    </row>
    <row r="69" spans="1:23">
      <c r="A69" s="9"/>
      <c r="B69" s="9"/>
      <c r="C69" s="9"/>
      <c r="D69" s="9"/>
      <c r="E69" s="9"/>
      <c r="F69" s="9"/>
      <c r="G69" s="9"/>
      <c r="H69" s="9"/>
      <c r="I69" s="9"/>
      <c r="J69" s="9"/>
      <c r="K69" s="9"/>
      <c r="L69" s="9"/>
      <c r="M69" s="9"/>
      <c r="N69" s="9"/>
      <c r="O69" s="9"/>
      <c r="P69" s="9"/>
      <c r="Q69" s="9"/>
      <c r="R69" s="9"/>
      <c r="S69" s="9"/>
      <c r="T69" s="9"/>
      <c r="U69" s="9"/>
      <c r="V69" s="9"/>
      <c r="W69" s="9"/>
    </row>
    <row r="70" spans="1:23">
      <c r="A70" s="9"/>
      <c r="B70" s="9"/>
      <c r="C70" s="9"/>
      <c r="D70" s="9"/>
      <c r="E70" s="9"/>
      <c r="F70" s="9"/>
      <c r="G70" s="9"/>
      <c r="H70" s="9"/>
      <c r="I70" s="9"/>
      <c r="J70" s="9"/>
      <c r="K70" s="9"/>
      <c r="L70" s="9"/>
      <c r="M70" s="9"/>
      <c r="N70" s="9"/>
      <c r="O70" s="9"/>
      <c r="P70" s="9"/>
      <c r="Q70" s="9"/>
      <c r="R70" s="9"/>
      <c r="S70" s="9"/>
      <c r="T70" s="9"/>
      <c r="U70" s="9"/>
      <c r="V70" s="9"/>
      <c r="W70" s="9"/>
    </row>
    <row r="71" spans="1:23">
      <c r="A71" s="9"/>
      <c r="B71" s="9"/>
      <c r="C71" s="9"/>
      <c r="D71" s="9"/>
      <c r="E71" s="9"/>
      <c r="F71" s="9"/>
      <c r="G71" s="9"/>
      <c r="H71" s="9"/>
      <c r="I71" s="9"/>
      <c r="J71" s="9"/>
      <c r="K71" s="9"/>
      <c r="L71" s="9"/>
      <c r="M71" s="9"/>
      <c r="N71" s="9"/>
      <c r="O71" s="9"/>
      <c r="P71" s="9"/>
      <c r="Q71" s="9"/>
      <c r="R71" s="9"/>
      <c r="S71" s="9"/>
      <c r="T71" s="9"/>
      <c r="U71" s="9"/>
      <c r="V71" s="9"/>
      <c r="W71" s="9"/>
    </row>
    <row r="72" spans="1:23">
      <c r="A72" s="9"/>
      <c r="B72" s="9"/>
      <c r="C72" s="9"/>
      <c r="D72" s="9"/>
      <c r="E72" s="9"/>
      <c r="F72" s="9"/>
      <c r="G72" s="9"/>
      <c r="H72" s="9"/>
      <c r="I72" s="9"/>
      <c r="J72" s="9"/>
      <c r="K72" s="9"/>
      <c r="L72" s="9"/>
      <c r="M72" s="9"/>
      <c r="N72" s="9"/>
      <c r="O72" s="9"/>
      <c r="P72" s="9"/>
      <c r="Q72" s="9"/>
      <c r="R72" s="9"/>
      <c r="S72" s="9"/>
      <c r="T72" s="9"/>
      <c r="U72" s="9"/>
      <c r="V72" s="9"/>
      <c r="W72" s="9"/>
    </row>
    <row r="73" spans="1:23">
      <c r="A73" s="9"/>
      <c r="B73" s="9"/>
      <c r="C73" s="9"/>
      <c r="D73" s="9"/>
      <c r="E73" s="9"/>
      <c r="F73" s="9"/>
      <c r="G73" s="9"/>
      <c r="H73" s="9"/>
      <c r="I73" s="9"/>
      <c r="J73" s="9"/>
      <c r="K73" s="9"/>
      <c r="L73" s="9"/>
      <c r="M73" s="9"/>
      <c r="N73" s="9"/>
      <c r="O73" s="9"/>
      <c r="P73" s="9"/>
      <c r="Q73" s="9"/>
      <c r="R73" s="9"/>
      <c r="S73" s="9"/>
      <c r="T73" s="9"/>
      <c r="U73" s="9"/>
      <c r="V73" s="9"/>
      <c r="W73" s="9"/>
    </row>
    <row r="74" spans="1:23">
      <c r="A74" s="9"/>
      <c r="B74" s="9"/>
      <c r="C74" s="9"/>
      <c r="D74" s="9"/>
      <c r="E74" s="9"/>
      <c r="F74" s="9"/>
      <c r="G74" s="9"/>
      <c r="H74" s="9"/>
      <c r="I74" s="9"/>
      <c r="J74" s="9"/>
      <c r="K74" s="9"/>
      <c r="L74" s="9"/>
      <c r="M74" s="9"/>
      <c r="N74" s="9"/>
      <c r="O74" s="9"/>
      <c r="P74" s="9"/>
      <c r="Q74" s="9"/>
      <c r="R74" s="9"/>
      <c r="S74" s="9"/>
      <c r="T74" s="9"/>
      <c r="U74" s="9"/>
      <c r="V74" s="9"/>
      <c r="W74" s="9"/>
    </row>
    <row r="75" spans="1:23">
      <c r="A75" s="9"/>
      <c r="B75" s="9"/>
      <c r="C75" s="9"/>
      <c r="D75" s="9"/>
      <c r="E75" s="9"/>
      <c r="F75" s="9"/>
      <c r="G75" s="9"/>
      <c r="H75" s="9"/>
      <c r="I75" s="9"/>
      <c r="J75" s="9"/>
      <c r="K75" s="9"/>
      <c r="L75" s="9"/>
      <c r="M75" s="9"/>
      <c r="N75" s="9"/>
      <c r="O75" s="9"/>
      <c r="P75" s="9"/>
      <c r="Q75" s="9"/>
      <c r="R75" s="9"/>
      <c r="S75" s="9"/>
      <c r="T75" s="9"/>
      <c r="U75" s="9"/>
      <c r="V75" s="9"/>
      <c r="W75" s="9"/>
    </row>
    <row r="76" spans="1:23">
      <c r="A76" s="9"/>
      <c r="B76" s="9"/>
      <c r="C76" s="9"/>
      <c r="D76" s="9"/>
      <c r="E76" s="9"/>
      <c r="F76" s="9"/>
      <c r="G76" s="9"/>
      <c r="H76" s="9"/>
      <c r="I76" s="9"/>
      <c r="J76" s="9"/>
      <c r="K76" s="9"/>
      <c r="L76" s="9"/>
      <c r="M76" s="9"/>
      <c r="N76" s="9"/>
      <c r="O76" s="9"/>
      <c r="P76" s="9"/>
      <c r="Q76" s="9"/>
      <c r="R76" s="9"/>
      <c r="S76" s="9"/>
      <c r="T76" s="9"/>
      <c r="U76" s="9"/>
      <c r="V76" s="9"/>
      <c r="W76" s="9"/>
    </row>
    <row r="77" spans="1:23">
      <c r="A77" s="9"/>
      <c r="B77" s="9"/>
      <c r="C77" s="9"/>
      <c r="D77" s="9"/>
      <c r="E77" s="9"/>
      <c r="F77" s="9"/>
      <c r="G77" s="9"/>
      <c r="H77" s="9"/>
      <c r="I77" s="9"/>
      <c r="J77" s="9"/>
      <c r="K77" s="9"/>
      <c r="L77" s="9"/>
      <c r="M77" s="9"/>
      <c r="N77" s="9"/>
      <c r="O77" s="9"/>
      <c r="P77" s="9"/>
      <c r="Q77" s="9"/>
      <c r="R77" s="9"/>
      <c r="S77" s="9"/>
      <c r="T77" s="9"/>
      <c r="U77" s="9"/>
      <c r="V77" s="9"/>
      <c r="W77" s="9"/>
    </row>
    <row r="78" spans="1:23">
      <c r="A78" s="9"/>
      <c r="B78" s="9"/>
      <c r="C78" s="9"/>
      <c r="D78" s="9"/>
      <c r="E78" s="9"/>
      <c r="F78" s="9"/>
      <c r="G78" s="9"/>
      <c r="H78" s="9"/>
      <c r="I78" s="9"/>
      <c r="J78" s="9"/>
      <c r="K78" s="9"/>
      <c r="L78" s="9"/>
      <c r="M78" s="9"/>
      <c r="N78" s="9"/>
      <c r="O78" s="9"/>
      <c r="P78" s="9"/>
      <c r="Q78" s="9"/>
      <c r="R78" s="9"/>
      <c r="S78" s="9"/>
      <c r="T78" s="9"/>
      <c r="U78" s="9"/>
      <c r="V78" s="9"/>
      <c r="W78" s="9"/>
    </row>
    <row r="79" spans="1:23">
      <c r="A79" s="9"/>
      <c r="B79" s="9"/>
      <c r="C79" s="9"/>
      <c r="D79" s="9"/>
      <c r="E79" s="9"/>
      <c r="F79" s="9"/>
      <c r="G79" s="9"/>
      <c r="H79" s="9"/>
      <c r="I79" s="9"/>
      <c r="J79" s="9"/>
      <c r="K79" s="9"/>
      <c r="L79" s="9"/>
      <c r="M79" s="9"/>
      <c r="N79" s="9"/>
      <c r="O79" s="9"/>
      <c r="P79" s="9"/>
      <c r="Q79" s="9"/>
      <c r="R79" s="9"/>
      <c r="S79" s="9"/>
      <c r="T79" s="9"/>
      <c r="U79" s="9"/>
      <c r="V79" s="9"/>
      <c r="W79" s="9"/>
    </row>
    <row r="80" spans="1:23">
      <c r="A80" s="9"/>
      <c r="B80" s="9"/>
      <c r="C80" s="9"/>
      <c r="D80" s="9"/>
      <c r="E80" s="9"/>
      <c r="F80" s="9"/>
      <c r="G80" s="9"/>
      <c r="H80" s="9"/>
      <c r="I80" s="9"/>
      <c r="J80" s="9"/>
      <c r="K80" s="9"/>
      <c r="L80" s="9"/>
      <c r="M80" s="9"/>
      <c r="N80" s="9"/>
      <c r="O80" s="9"/>
      <c r="P80" s="9"/>
      <c r="Q80" s="9"/>
      <c r="R80" s="9"/>
      <c r="S80" s="9"/>
      <c r="T80" s="9"/>
      <c r="U80" s="9"/>
      <c r="V80" s="9"/>
      <c r="W80" s="9"/>
    </row>
    <row r="81" spans="1:23">
      <c r="A81" s="9"/>
      <c r="B81" s="9"/>
      <c r="C81" s="9"/>
      <c r="D81" s="9"/>
      <c r="E81" s="9"/>
      <c r="F81" s="9"/>
      <c r="G81" s="9"/>
      <c r="H81" s="9"/>
      <c r="I81" s="9"/>
      <c r="J81" s="9"/>
      <c r="K81" s="9"/>
      <c r="L81" s="9"/>
      <c r="M81" s="9"/>
      <c r="N81" s="9"/>
      <c r="O81" s="9"/>
      <c r="P81" s="9"/>
      <c r="Q81" s="9"/>
      <c r="R81" s="9"/>
      <c r="S81" s="9"/>
      <c r="T81" s="9"/>
      <c r="U81" s="9"/>
      <c r="V81" s="9"/>
      <c r="W81" s="9"/>
    </row>
    <row r="82" spans="1:23">
      <c r="A82" s="9"/>
      <c r="B82" s="9"/>
      <c r="C82" s="9"/>
      <c r="D82" s="9"/>
      <c r="E82" s="9"/>
      <c r="F82" s="9"/>
      <c r="G82" s="9"/>
      <c r="H82" s="9"/>
      <c r="I82" s="9"/>
      <c r="J82" s="9"/>
      <c r="K82" s="9"/>
      <c r="L82" s="9"/>
      <c r="M82" s="9"/>
      <c r="N82" s="9"/>
      <c r="O82" s="9"/>
      <c r="P82" s="9"/>
      <c r="Q82" s="9"/>
      <c r="R82" s="9"/>
      <c r="S82" s="9"/>
      <c r="T82" s="9"/>
      <c r="U82" s="9"/>
      <c r="V82" s="9"/>
      <c r="W82" s="9"/>
    </row>
    <row r="83" spans="1:23">
      <c r="A83" s="9"/>
      <c r="B83" s="9"/>
      <c r="C83" s="9"/>
      <c r="D83" s="9"/>
      <c r="E83" s="9"/>
      <c r="F83" s="9"/>
      <c r="G83" s="9"/>
      <c r="H83" s="9"/>
      <c r="I83" s="9"/>
      <c r="J83" s="9"/>
      <c r="K83" s="9"/>
      <c r="L83" s="9"/>
      <c r="M83" s="9"/>
      <c r="N83" s="9"/>
      <c r="O83" s="9"/>
      <c r="P83" s="9"/>
      <c r="Q83" s="9"/>
      <c r="R83" s="9"/>
      <c r="S83" s="9"/>
      <c r="T83" s="9"/>
      <c r="U83" s="9"/>
      <c r="V83" s="9"/>
      <c r="W83" s="9"/>
    </row>
    <row r="84" spans="1:23">
      <c r="A84" s="9"/>
      <c r="B84" s="9"/>
      <c r="C84" s="9"/>
      <c r="D84" s="9"/>
      <c r="E84" s="9"/>
      <c r="F84" s="9"/>
      <c r="G84" s="9"/>
      <c r="H84" s="9"/>
      <c r="I84" s="9"/>
      <c r="J84" s="9"/>
      <c r="K84" s="9"/>
      <c r="L84" s="9"/>
      <c r="M84" s="9"/>
      <c r="N84" s="9"/>
      <c r="O84" s="9"/>
      <c r="P84" s="9"/>
      <c r="Q84" s="9"/>
      <c r="R84" s="9"/>
      <c r="S84" s="9"/>
      <c r="T84" s="9"/>
      <c r="U84" s="9"/>
      <c r="V84" s="9"/>
      <c r="W84" s="9"/>
    </row>
    <row r="85" spans="1:23">
      <c r="A85" s="9"/>
      <c r="B85" s="9"/>
      <c r="C85" s="9"/>
      <c r="D85" s="9"/>
      <c r="E85" s="9"/>
      <c r="F85" s="9"/>
      <c r="G85" s="9"/>
      <c r="H85" s="9"/>
      <c r="I85" s="9"/>
      <c r="J85" s="9"/>
      <c r="K85" s="9"/>
      <c r="L85" s="9"/>
      <c r="M85" s="9"/>
      <c r="N85" s="9"/>
      <c r="O85" s="9"/>
      <c r="P85" s="9"/>
      <c r="Q85" s="9"/>
      <c r="R85" s="9"/>
      <c r="S85" s="9"/>
      <c r="T85" s="9"/>
      <c r="U85" s="9"/>
      <c r="V85" s="9"/>
      <c r="W85" s="9"/>
    </row>
    <row r="86" spans="1:23">
      <c r="A86" s="9"/>
      <c r="B86" s="9"/>
      <c r="C86" s="9"/>
      <c r="D86" s="9"/>
      <c r="E86" s="9"/>
      <c r="F86" s="9"/>
      <c r="G86" s="9"/>
      <c r="H86" s="9"/>
      <c r="I86" s="9"/>
      <c r="J86" s="9"/>
      <c r="K86" s="9"/>
      <c r="L86" s="9"/>
      <c r="M86" s="9"/>
      <c r="N86" s="9"/>
      <c r="O86" s="9"/>
      <c r="P86" s="9"/>
      <c r="Q86" s="9"/>
      <c r="R86" s="9"/>
      <c r="S86" s="9"/>
      <c r="T86" s="9"/>
      <c r="U86" s="9"/>
      <c r="V86" s="9"/>
      <c r="W86" s="9"/>
    </row>
    <row r="87" spans="1:23">
      <c r="A87" s="9"/>
      <c r="B87" s="9"/>
      <c r="C87" s="9"/>
      <c r="D87" s="9"/>
      <c r="E87" s="9"/>
      <c r="F87" s="9"/>
      <c r="G87" s="9"/>
      <c r="H87" s="9"/>
      <c r="I87" s="9"/>
      <c r="J87" s="9"/>
      <c r="K87" s="9"/>
      <c r="L87" s="9"/>
      <c r="M87" s="9"/>
      <c r="N87" s="9"/>
      <c r="O87" s="9"/>
      <c r="P87" s="9"/>
      <c r="Q87" s="9"/>
      <c r="R87" s="9"/>
      <c r="S87" s="9"/>
      <c r="T87" s="9"/>
      <c r="U87" s="9"/>
      <c r="V87" s="9"/>
      <c r="W87" s="9"/>
    </row>
    <row r="88" spans="1:23">
      <c r="A88" s="9"/>
      <c r="B88" s="9"/>
      <c r="C88" s="9"/>
      <c r="D88" s="9"/>
      <c r="E88" s="9"/>
      <c r="F88" s="9"/>
      <c r="G88" s="9"/>
      <c r="H88" s="9"/>
      <c r="I88" s="9"/>
      <c r="J88" s="9"/>
      <c r="K88" s="9"/>
      <c r="L88" s="9"/>
      <c r="M88" s="9"/>
      <c r="N88" s="9"/>
      <c r="O88" s="9"/>
      <c r="P88" s="9"/>
      <c r="Q88" s="9"/>
      <c r="R88" s="9"/>
      <c r="S88" s="9"/>
      <c r="T88" s="9"/>
      <c r="U88" s="9"/>
      <c r="V88" s="9"/>
      <c r="W88" s="9"/>
    </row>
    <row r="89" spans="1:23">
      <c r="A89" s="9"/>
      <c r="B89" s="9"/>
      <c r="C89" s="9"/>
      <c r="D89" s="9"/>
      <c r="E89" s="9"/>
      <c r="F89" s="9"/>
      <c r="G89" s="9"/>
      <c r="H89" s="9"/>
      <c r="I89" s="9"/>
      <c r="J89" s="9"/>
      <c r="K89" s="9"/>
      <c r="L89" s="9"/>
      <c r="M89" s="9"/>
      <c r="N89" s="9"/>
      <c r="O89" s="9"/>
      <c r="P89" s="9"/>
      <c r="Q89" s="9"/>
      <c r="R89" s="9"/>
      <c r="S89" s="9"/>
      <c r="T89" s="9"/>
      <c r="U89" s="9"/>
      <c r="V89" s="9"/>
      <c r="W89" s="9"/>
    </row>
    <row r="90" spans="1:23">
      <c r="A90" s="9"/>
      <c r="B90" s="9"/>
      <c r="C90" s="9"/>
      <c r="D90" s="9"/>
      <c r="E90" s="9"/>
      <c r="F90" s="9"/>
      <c r="G90" s="9"/>
      <c r="H90" s="9"/>
      <c r="I90" s="9"/>
      <c r="J90" s="9"/>
      <c r="K90" s="9"/>
      <c r="L90" s="9"/>
      <c r="M90" s="9"/>
      <c r="N90" s="9"/>
      <c r="O90" s="9"/>
      <c r="P90" s="9"/>
      <c r="Q90" s="9"/>
      <c r="R90" s="9"/>
      <c r="S90" s="9"/>
      <c r="T90" s="9"/>
      <c r="U90" s="9"/>
      <c r="V90" s="9"/>
      <c r="W90" s="9"/>
    </row>
    <row r="91" spans="1:23">
      <c r="A91" s="9"/>
      <c r="B91" s="9"/>
      <c r="C91" s="9"/>
      <c r="D91" s="9"/>
      <c r="E91" s="9"/>
      <c r="F91" s="9"/>
      <c r="G91" s="9"/>
      <c r="H91" s="9"/>
      <c r="I91" s="9"/>
      <c r="J91" s="9"/>
      <c r="K91" s="9"/>
      <c r="L91" s="9"/>
      <c r="M91" s="9"/>
      <c r="N91" s="9"/>
      <c r="O91" s="9"/>
      <c r="P91" s="9"/>
      <c r="Q91" s="9"/>
      <c r="R91" s="9"/>
      <c r="S91" s="9"/>
      <c r="T91" s="9"/>
      <c r="U91" s="9"/>
      <c r="V91" s="9"/>
      <c r="W91" s="9"/>
    </row>
    <row r="92" spans="1:23">
      <c r="A92" s="9"/>
      <c r="B92" s="9"/>
      <c r="C92" s="9"/>
      <c r="D92" s="9"/>
      <c r="E92" s="9"/>
      <c r="F92" s="9"/>
      <c r="G92" s="9"/>
      <c r="H92" s="9"/>
      <c r="I92" s="9"/>
      <c r="J92" s="9"/>
      <c r="K92" s="9"/>
      <c r="L92" s="9"/>
      <c r="M92" s="9"/>
      <c r="N92" s="9"/>
      <c r="O92" s="9"/>
      <c r="P92" s="9"/>
      <c r="Q92" s="9"/>
      <c r="R92" s="9"/>
      <c r="S92" s="9"/>
      <c r="T92" s="9"/>
      <c r="U92" s="9"/>
      <c r="V92" s="9"/>
      <c r="W92" s="9"/>
    </row>
    <row r="93" spans="1:23">
      <c r="A93" s="9"/>
      <c r="B93" s="9"/>
      <c r="C93" s="9"/>
      <c r="D93" s="9"/>
      <c r="E93" s="9"/>
      <c r="F93" s="9"/>
      <c r="G93" s="9"/>
      <c r="H93" s="9"/>
      <c r="I93" s="9"/>
      <c r="J93" s="9"/>
      <c r="K93" s="9"/>
      <c r="L93" s="9"/>
      <c r="M93" s="9"/>
      <c r="N93" s="9"/>
      <c r="O93" s="9"/>
      <c r="P93" s="9"/>
      <c r="Q93" s="9"/>
      <c r="R93" s="9"/>
      <c r="S93" s="9"/>
      <c r="T93" s="9"/>
      <c r="U93" s="9"/>
      <c r="V93" s="9"/>
      <c r="W93" s="9"/>
    </row>
    <row r="94" spans="1:23">
      <c r="A94" s="9"/>
      <c r="B94" s="9"/>
      <c r="C94" s="9"/>
      <c r="D94" s="9"/>
      <c r="E94" s="9"/>
      <c r="F94" s="9"/>
      <c r="G94" s="9"/>
      <c r="H94" s="9"/>
      <c r="I94" s="9"/>
      <c r="J94" s="9"/>
      <c r="K94" s="9"/>
      <c r="L94" s="9"/>
      <c r="M94" s="9"/>
      <c r="N94" s="9"/>
      <c r="O94" s="9"/>
      <c r="P94" s="9"/>
      <c r="Q94" s="9"/>
      <c r="R94" s="9"/>
      <c r="S94" s="9"/>
      <c r="T94" s="9"/>
      <c r="U94" s="9"/>
      <c r="V94" s="9"/>
      <c r="W94" s="9"/>
    </row>
    <row r="95" spans="1:23">
      <c r="A95" s="9"/>
      <c r="B95" s="9"/>
      <c r="C95" s="9"/>
      <c r="D95" s="9"/>
      <c r="E95" s="9"/>
      <c r="F95" s="9"/>
      <c r="G95" s="9"/>
      <c r="H95" s="9"/>
      <c r="I95" s="9"/>
      <c r="J95" s="9"/>
      <c r="K95" s="9"/>
      <c r="L95" s="9"/>
      <c r="M95" s="9"/>
      <c r="N95" s="9"/>
      <c r="O95" s="9"/>
      <c r="P95" s="9"/>
      <c r="Q95" s="9"/>
      <c r="R95" s="9"/>
      <c r="S95" s="9"/>
      <c r="T95" s="9"/>
      <c r="U95" s="9"/>
      <c r="V95" s="9"/>
      <c r="W95" s="9"/>
    </row>
    <row r="96" spans="1:23">
      <c r="A96" s="9"/>
      <c r="B96" s="9"/>
      <c r="C96" s="9"/>
      <c r="D96" s="9"/>
      <c r="E96" s="9"/>
      <c r="F96" s="9"/>
      <c r="G96" s="9"/>
      <c r="H96" s="9"/>
      <c r="I96" s="9"/>
      <c r="J96" s="9"/>
      <c r="K96" s="9"/>
      <c r="L96" s="9"/>
      <c r="M96" s="9"/>
      <c r="N96" s="9"/>
      <c r="O96" s="9"/>
      <c r="P96" s="9"/>
      <c r="Q96" s="9"/>
      <c r="R96" s="9"/>
      <c r="S96" s="9"/>
      <c r="T96" s="9"/>
      <c r="U96" s="9"/>
      <c r="V96" s="9"/>
      <c r="W96" s="9"/>
    </row>
    <row r="97" spans="1:23">
      <c r="A97" s="9"/>
      <c r="B97" s="9"/>
      <c r="C97" s="9"/>
      <c r="D97" s="9"/>
      <c r="E97" s="9"/>
      <c r="F97" s="9"/>
      <c r="G97" s="9"/>
      <c r="H97" s="9"/>
      <c r="I97" s="9"/>
      <c r="J97" s="9"/>
      <c r="K97" s="9"/>
      <c r="L97" s="9"/>
      <c r="M97" s="9"/>
      <c r="N97" s="9"/>
      <c r="O97" s="9"/>
      <c r="P97" s="9"/>
      <c r="Q97" s="9"/>
      <c r="R97" s="9"/>
      <c r="S97" s="9"/>
      <c r="T97" s="9"/>
      <c r="U97" s="9"/>
      <c r="V97" s="9"/>
      <c r="W97" s="9"/>
    </row>
    <row r="98" spans="1:23">
      <c r="A98" s="9"/>
      <c r="B98" s="9"/>
      <c r="C98" s="9"/>
      <c r="D98" s="9"/>
      <c r="E98" s="9"/>
      <c r="F98" s="9"/>
      <c r="G98" s="9"/>
      <c r="H98" s="9"/>
      <c r="I98" s="9"/>
      <c r="J98" s="9"/>
      <c r="K98" s="9"/>
      <c r="L98" s="9"/>
      <c r="M98" s="9"/>
      <c r="N98" s="9"/>
      <c r="O98" s="9"/>
      <c r="P98" s="9"/>
      <c r="Q98" s="9"/>
      <c r="R98" s="9"/>
      <c r="S98" s="9"/>
      <c r="T98" s="9"/>
      <c r="U98" s="9"/>
      <c r="V98" s="9"/>
      <c r="W98" s="9"/>
    </row>
    <row r="99" spans="1:23">
      <c r="A99" s="9"/>
      <c r="B99" s="9"/>
      <c r="C99" s="9"/>
      <c r="D99" s="9"/>
      <c r="E99" s="9"/>
      <c r="F99" s="9"/>
      <c r="G99" s="9"/>
      <c r="H99" s="9"/>
      <c r="I99" s="9"/>
      <c r="J99" s="9"/>
      <c r="K99" s="9"/>
      <c r="L99" s="9"/>
      <c r="M99" s="9"/>
      <c r="N99" s="9"/>
      <c r="O99" s="9"/>
      <c r="P99" s="9"/>
      <c r="Q99" s="9"/>
      <c r="R99" s="9"/>
      <c r="S99" s="9"/>
      <c r="T99" s="9"/>
      <c r="U99" s="9"/>
      <c r="V99" s="9"/>
      <c r="W99" s="9"/>
    </row>
    <row r="100" spans="1:23">
      <c r="A100" s="9"/>
      <c r="B100" s="9"/>
      <c r="C100" s="9"/>
      <c r="D100" s="9"/>
      <c r="E100" s="9"/>
      <c r="F100" s="9"/>
      <c r="G100" s="9"/>
      <c r="H100" s="9"/>
      <c r="I100" s="9"/>
      <c r="J100" s="9"/>
      <c r="K100" s="9"/>
      <c r="L100" s="9"/>
      <c r="M100" s="9"/>
      <c r="N100" s="9"/>
      <c r="O100" s="9"/>
      <c r="P100" s="9"/>
      <c r="Q100" s="9"/>
      <c r="R100" s="9"/>
      <c r="S100" s="9"/>
      <c r="T100" s="9"/>
      <c r="U100" s="9"/>
      <c r="V100" s="9"/>
      <c r="W100" s="9"/>
    </row>
    <row r="101" spans="1:23">
      <c r="A101" s="9"/>
      <c r="B101" s="9"/>
      <c r="C101" s="9"/>
      <c r="D101" s="9"/>
      <c r="E101" s="9"/>
      <c r="F101" s="9"/>
      <c r="G101" s="9"/>
      <c r="H101" s="9"/>
      <c r="I101" s="9"/>
      <c r="J101" s="9"/>
      <c r="K101" s="9"/>
      <c r="L101" s="9"/>
      <c r="M101" s="9"/>
      <c r="N101" s="9"/>
      <c r="O101" s="9"/>
      <c r="P101" s="9"/>
      <c r="Q101" s="9"/>
      <c r="R101" s="9"/>
      <c r="S101" s="9"/>
      <c r="T101" s="9"/>
      <c r="U101" s="9"/>
      <c r="V101" s="9"/>
      <c r="W101" s="9"/>
    </row>
    <row r="102" spans="1:23">
      <c r="A102" s="9"/>
      <c r="B102" s="9"/>
      <c r="C102" s="9"/>
      <c r="D102" s="9"/>
      <c r="E102" s="9"/>
      <c r="F102" s="9"/>
      <c r="G102" s="9"/>
      <c r="H102" s="9"/>
      <c r="I102" s="9"/>
      <c r="J102" s="9"/>
      <c r="K102" s="9"/>
      <c r="L102" s="9"/>
      <c r="M102" s="9"/>
      <c r="N102" s="9"/>
      <c r="O102" s="9"/>
      <c r="P102" s="9"/>
      <c r="Q102" s="9"/>
      <c r="R102" s="9"/>
      <c r="S102" s="9"/>
      <c r="T102" s="9"/>
      <c r="U102" s="9"/>
      <c r="V102" s="9"/>
      <c r="W102" s="9"/>
    </row>
    <row r="103" spans="1:23">
      <c r="A103" s="9"/>
      <c r="B103" s="9"/>
      <c r="C103" s="9"/>
      <c r="D103" s="9"/>
      <c r="E103" s="9"/>
      <c r="F103" s="9"/>
      <c r="G103" s="9"/>
      <c r="H103" s="9"/>
      <c r="I103" s="9"/>
      <c r="J103" s="9"/>
      <c r="K103" s="9"/>
      <c r="L103" s="9"/>
      <c r="M103" s="9"/>
      <c r="N103" s="9"/>
      <c r="O103" s="9"/>
      <c r="P103" s="9"/>
      <c r="Q103" s="9"/>
      <c r="R103" s="9"/>
      <c r="S103" s="9"/>
      <c r="T103" s="9"/>
      <c r="U103" s="9"/>
      <c r="V103" s="9"/>
      <c r="W103" s="9"/>
    </row>
    <row r="104" spans="1:23">
      <c r="A104" s="9"/>
      <c r="B104" s="9"/>
      <c r="C104" s="9"/>
      <c r="D104" s="9"/>
      <c r="E104" s="9"/>
      <c r="F104" s="9"/>
      <c r="G104" s="9"/>
      <c r="H104" s="9"/>
      <c r="I104" s="9"/>
      <c r="J104" s="9"/>
      <c r="K104" s="9"/>
      <c r="L104" s="9"/>
      <c r="M104" s="9"/>
      <c r="N104" s="9"/>
      <c r="O104" s="9"/>
      <c r="P104" s="9"/>
      <c r="Q104" s="9"/>
      <c r="R104" s="9"/>
      <c r="S104" s="9"/>
      <c r="T104" s="9"/>
      <c r="U104" s="9"/>
      <c r="V104" s="9"/>
      <c r="W104" s="9"/>
    </row>
    <row r="105" spans="1:23">
      <c r="A105" s="9"/>
      <c r="B105" s="9"/>
      <c r="C105" s="9"/>
      <c r="D105" s="9"/>
      <c r="E105" s="9"/>
      <c r="F105" s="9"/>
      <c r="G105" s="9"/>
      <c r="H105" s="9"/>
      <c r="I105" s="9"/>
      <c r="J105" s="9"/>
      <c r="K105" s="9"/>
      <c r="L105" s="9"/>
      <c r="M105" s="9"/>
      <c r="N105" s="9"/>
      <c r="O105" s="9"/>
      <c r="P105" s="9"/>
      <c r="Q105" s="9"/>
      <c r="R105" s="9"/>
      <c r="S105" s="9"/>
      <c r="T105" s="9"/>
      <c r="U105" s="9"/>
      <c r="V105" s="9"/>
      <c r="W105" s="9"/>
    </row>
    <row r="106" spans="1:23">
      <c r="A106" s="9"/>
      <c r="B106" s="9"/>
      <c r="C106" s="9"/>
      <c r="D106" s="9"/>
      <c r="E106" s="9"/>
      <c r="F106" s="9"/>
      <c r="G106" s="9"/>
      <c r="H106" s="9"/>
      <c r="I106" s="9"/>
      <c r="J106" s="9"/>
      <c r="K106" s="9"/>
      <c r="L106" s="9"/>
      <c r="M106" s="9"/>
      <c r="N106" s="9"/>
      <c r="O106" s="9"/>
      <c r="P106" s="9"/>
      <c r="Q106" s="9"/>
      <c r="R106" s="9"/>
      <c r="S106" s="9"/>
      <c r="T106" s="9"/>
      <c r="U106" s="9"/>
      <c r="V106" s="9"/>
      <c r="W106" s="9"/>
    </row>
    <row r="107" spans="1:23">
      <c r="A107" s="9"/>
      <c r="B107" s="9"/>
      <c r="C107" s="9"/>
      <c r="D107" s="9"/>
      <c r="E107" s="9"/>
      <c r="F107" s="9"/>
      <c r="G107" s="9"/>
      <c r="H107" s="9"/>
      <c r="I107" s="9"/>
      <c r="J107" s="9"/>
      <c r="K107" s="9"/>
      <c r="L107" s="9"/>
      <c r="M107" s="9"/>
      <c r="N107" s="9"/>
      <c r="O107" s="9"/>
      <c r="P107" s="9"/>
      <c r="Q107" s="9"/>
      <c r="R107" s="9"/>
      <c r="S107" s="9"/>
      <c r="T107" s="9"/>
      <c r="U107" s="9"/>
      <c r="V107" s="9"/>
      <c r="W107" s="9"/>
    </row>
    <row r="108" spans="1:23">
      <c r="A108" s="9"/>
      <c r="B108" s="9"/>
      <c r="C108" s="9"/>
      <c r="D108" s="9"/>
      <c r="E108" s="9"/>
      <c r="F108" s="9"/>
      <c r="G108" s="9"/>
      <c r="H108" s="9"/>
      <c r="I108" s="9"/>
      <c r="J108" s="9"/>
      <c r="K108" s="9"/>
      <c r="L108" s="9"/>
      <c r="M108" s="9"/>
      <c r="N108" s="9"/>
      <c r="O108" s="9"/>
      <c r="P108" s="9"/>
      <c r="Q108" s="9"/>
      <c r="R108" s="9"/>
      <c r="S108" s="9"/>
      <c r="T108" s="9"/>
      <c r="U108" s="9"/>
      <c r="V108" s="9"/>
      <c r="W108" s="9"/>
    </row>
    <row r="109" spans="1:23">
      <c r="A109" s="9"/>
      <c r="B109" s="9"/>
      <c r="C109" s="9"/>
      <c r="D109" s="9"/>
      <c r="E109" s="9"/>
      <c r="F109" s="9"/>
      <c r="G109" s="9"/>
      <c r="H109" s="9"/>
      <c r="I109" s="9"/>
      <c r="J109" s="9"/>
      <c r="K109" s="9"/>
      <c r="L109" s="9"/>
      <c r="M109" s="9"/>
      <c r="N109" s="9"/>
      <c r="O109" s="9"/>
      <c r="P109" s="9"/>
      <c r="Q109" s="9"/>
      <c r="R109" s="9"/>
      <c r="S109" s="9"/>
      <c r="T109" s="9"/>
      <c r="U109" s="9"/>
      <c r="V109" s="9"/>
      <c r="W109" s="9"/>
    </row>
    <row r="110" spans="1:23">
      <c r="A110" s="9"/>
      <c r="B110" s="9"/>
      <c r="C110" s="9"/>
      <c r="D110" s="9"/>
      <c r="E110" s="9"/>
      <c r="F110" s="9"/>
      <c r="G110" s="9"/>
      <c r="H110" s="9"/>
      <c r="I110" s="9"/>
      <c r="J110" s="9"/>
      <c r="K110" s="9"/>
      <c r="L110" s="9"/>
      <c r="M110" s="9"/>
      <c r="N110" s="9"/>
      <c r="O110" s="9"/>
      <c r="P110" s="9"/>
      <c r="Q110" s="9"/>
      <c r="R110" s="9"/>
      <c r="S110" s="9"/>
      <c r="T110" s="9"/>
      <c r="U110" s="9"/>
      <c r="V110" s="9"/>
      <c r="W110" s="9"/>
    </row>
    <row r="111" spans="1:23">
      <c r="A111" s="9"/>
      <c r="B111" s="9"/>
      <c r="C111" s="9"/>
      <c r="D111" s="9"/>
      <c r="E111" s="9"/>
      <c r="F111" s="9"/>
      <c r="G111" s="9"/>
      <c r="H111" s="9"/>
      <c r="I111" s="9"/>
      <c r="J111" s="9"/>
      <c r="K111" s="9"/>
      <c r="L111" s="9"/>
      <c r="M111" s="9"/>
      <c r="N111" s="9"/>
      <c r="O111" s="9"/>
      <c r="P111" s="9"/>
      <c r="Q111" s="9"/>
      <c r="R111" s="9"/>
      <c r="S111" s="9"/>
      <c r="T111" s="9"/>
      <c r="U111" s="9"/>
      <c r="V111" s="9"/>
      <c r="W111" s="9"/>
    </row>
    <row r="112" spans="1:23">
      <c r="A112" s="9"/>
      <c r="B112" s="9"/>
      <c r="C112" s="9"/>
      <c r="D112" s="9"/>
      <c r="E112" s="9"/>
      <c r="F112" s="9"/>
      <c r="G112" s="9"/>
      <c r="H112" s="9"/>
      <c r="I112" s="9"/>
      <c r="J112" s="9"/>
      <c r="K112" s="9"/>
      <c r="L112" s="9"/>
      <c r="M112" s="9"/>
      <c r="N112" s="9"/>
      <c r="O112" s="9"/>
      <c r="P112" s="9"/>
      <c r="Q112" s="9"/>
      <c r="R112" s="9"/>
      <c r="S112" s="9"/>
      <c r="T112" s="9"/>
      <c r="U112" s="9"/>
      <c r="V112" s="9"/>
      <c r="W112" s="9"/>
    </row>
    <row r="113" spans="1:23">
      <c r="A113" s="9"/>
      <c r="B113" s="9"/>
      <c r="C113" s="9"/>
      <c r="D113" s="9"/>
      <c r="E113" s="9"/>
      <c r="F113" s="9"/>
      <c r="G113" s="9"/>
      <c r="H113" s="9"/>
      <c r="I113" s="9"/>
      <c r="J113" s="9"/>
      <c r="K113" s="9"/>
      <c r="L113" s="9"/>
      <c r="M113" s="9"/>
      <c r="N113" s="9"/>
      <c r="O113" s="9"/>
      <c r="P113" s="9"/>
      <c r="Q113" s="9"/>
      <c r="R113" s="9"/>
      <c r="S113" s="9"/>
      <c r="T113" s="9"/>
      <c r="U113" s="9"/>
      <c r="V113" s="9"/>
      <c r="W113" s="9"/>
    </row>
    <row r="114" spans="1:23">
      <c r="A114" s="9"/>
      <c r="B114" s="9"/>
      <c r="C114" s="9"/>
      <c r="D114" s="9"/>
      <c r="E114" s="9"/>
      <c r="F114" s="9"/>
      <c r="G114" s="9"/>
      <c r="H114" s="9"/>
      <c r="I114" s="9"/>
      <c r="J114" s="9"/>
      <c r="K114" s="9"/>
      <c r="L114" s="9"/>
      <c r="M114" s="9"/>
      <c r="N114" s="9"/>
      <c r="O114" s="9"/>
      <c r="P114" s="9"/>
      <c r="Q114" s="9"/>
      <c r="R114" s="9"/>
      <c r="S114" s="9"/>
      <c r="T114" s="9"/>
      <c r="U114" s="9"/>
      <c r="V114" s="9"/>
      <c r="W114" s="9"/>
    </row>
    <row r="115" spans="1:23">
      <c r="A115" s="9"/>
      <c r="B115" s="9"/>
      <c r="C115" s="9"/>
      <c r="D115" s="9"/>
      <c r="E115" s="9"/>
      <c r="F115" s="9"/>
      <c r="G115" s="9"/>
      <c r="H115" s="9"/>
      <c r="I115" s="9"/>
      <c r="J115" s="9"/>
      <c r="K115" s="9"/>
      <c r="L115" s="9"/>
      <c r="M115" s="9"/>
      <c r="N115" s="9"/>
      <c r="O115" s="9"/>
      <c r="P115" s="9"/>
      <c r="Q115" s="9"/>
      <c r="R115" s="9"/>
      <c r="S115" s="9"/>
      <c r="T115" s="9"/>
      <c r="U115" s="9"/>
      <c r="V115" s="9"/>
      <c r="W115" s="9"/>
    </row>
    <row r="116" spans="1:23">
      <c r="A116" s="9"/>
      <c r="B116" s="9"/>
      <c r="C116" s="9"/>
      <c r="D116" s="9"/>
      <c r="E116" s="9"/>
      <c r="F116" s="9"/>
      <c r="G116" s="9"/>
      <c r="H116" s="9"/>
      <c r="I116" s="9"/>
      <c r="J116" s="9"/>
      <c r="K116" s="9"/>
      <c r="L116" s="9"/>
      <c r="M116" s="9"/>
      <c r="N116" s="9"/>
      <c r="O116" s="9"/>
      <c r="P116" s="9"/>
      <c r="Q116" s="9"/>
      <c r="R116" s="9"/>
      <c r="S116" s="9"/>
      <c r="T116" s="9"/>
      <c r="U116" s="9"/>
      <c r="V116" s="9"/>
      <c r="W116" s="9"/>
    </row>
    <row r="117" spans="1:23">
      <c r="A117" s="9"/>
      <c r="B117" s="9"/>
      <c r="C117" s="9"/>
      <c r="D117" s="9"/>
      <c r="E117" s="9"/>
      <c r="F117" s="9"/>
      <c r="G117" s="9"/>
      <c r="H117" s="9"/>
      <c r="I117" s="9"/>
      <c r="J117" s="9"/>
      <c r="K117" s="9"/>
      <c r="L117" s="9"/>
      <c r="M117" s="9"/>
      <c r="N117" s="9"/>
      <c r="O117" s="9"/>
      <c r="P117" s="9"/>
      <c r="Q117" s="9"/>
      <c r="R117" s="9"/>
      <c r="S117" s="9"/>
      <c r="T117" s="9"/>
      <c r="U117" s="9"/>
      <c r="V117" s="9"/>
      <c r="W117" s="9"/>
    </row>
    <row r="118" spans="1:23">
      <c r="A118" s="9"/>
      <c r="B118" s="9"/>
      <c r="C118" s="9"/>
      <c r="D118" s="9"/>
      <c r="E118" s="9"/>
      <c r="F118" s="9"/>
      <c r="G118" s="9"/>
      <c r="H118" s="9"/>
      <c r="I118" s="9"/>
      <c r="J118" s="9"/>
      <c r="K118" s="9"/>
      <c r="L118" s="9"/>
      <c r="M118" s="9"/>
      <c r="N118" s="9"/>
      <c r="O118" s="9"/>
      <c r="P118" s="9"/>
      <c r="Q118" s="9"/>
      <c r="R118" s="9"/>
      <c r="S118" s="9"/>
      <c r="T118" s="9"/>
      <c r="U118" s="9"/>
      <c r="V118" s="9"/>
      <c r="W118" s="9"/>
    </row>
    <row r="119" spans="1:23">
      <c r="A119" s="9"/>
      <c r="B119" s="9"/>
      <c r="C119" s="9"/>
      <c r="D119" s="9"/>
      <c r="E119" s="9"/>
      <c r="F119" s="9"/>
      <c r="G119" s="9"/>
      <c r="H119" s="9"/>
      <c r="I119" s="9"/>
      <c r="J119" s="9"/>
      <c r="K119" s="9"/>
      <c r="L119" s="9"/>
      <c r="M119" s="9"/>
      <c r="N119" s="9"/>
      <c r="O119" s="9"/>
      <c r="P119" s="9"/>
      <c r="Q119" s="9"/>
      <c r="R119" s="9"/>
      <c r="S119" s="9"/>
      <c r="T119" s="9"/>
      <c r="U119" s="9"/>
      <c r="V119" s="9"/>
      <c r="W119" s="9"/>
    </row>
    <row r="120" spans="1:23">
      <c r="A120" s="9"/>
      <c r="B120" s="9"/>
      <c r="C120" s="9"/>
      <c r="D120" s="9"/>
      <c r="E120" s="9"/>
      <c r="F120" s="9"/>
      <c r="G120" s="9"/>
      <c r="H120" s="9"/>
      <c r="I120" s="9"/>
      <c r="J120" s="9"/>
      <c r="K120" s="9"/>
      <c r="L120" s="9"/>
      <c r="M120" s="9"/>
      <c r="N120" s="9"/>
      <c r="O120" s="9"/>
      <c r="P120" s="9"/>
      <c r="Q120" s="9"/>
      <c r="R120" s="9"/>
      <c r="S120" s="9"/>
      <c r="T120" s="9"/>
      <c r="U120" s="9"/>
      <c r="V120" s="9"/>
      <c r="W120" s="9"/>
    </row>
    <row r="121" spans="1:23">
      <c r="A121" s="9"/>
      <c r="B121" s="9"/>
      <c r="C121" s="9"/>
      <c r="D121" s="9"/>
      <c r="E121" s="9"/>
      <c r="F121" s="9"/>
      <c r="G121" s="9"/>
      <c r="H121" s="9"/>
      <c r="I121" s="9"/>
      <c r="J121" s="9"/>
      <c r="K121" s="9"/>
      <c r="L121" s="9"/>
      <c r="M121" s="9"/>
      <c r="N121" s="9"/>
      <c r="O121" s="9"/>
      <c r="P121" s="9"/>
      <c r="Q121" s="9"/>
      <c r="R121" s="9"/>
      <c r="S121" s="9"/>
      <c r="T121" s="9"/>
      <c r="U121" s="9"/>
      <c r="V121" s="9"/>
      <c r="W121" s="9"/>
    </row>
    <row r="122" spans="1:23">
      <c r="A122" s="9"/>
      <c r="B122" s="9"/>
      <c r="C122" s="9"/>
      <c r="D122" s="9"/>
      <c r="E122" s="9"/>
      <c r="F122" s="9"/>
      <c r="G122" s="9"/>
      <c r="H122" s="9"/>
      <c r="I122" s="9"/>
      <c r="J122" s="9"/>
      <c r="K122" s="9"/>
      <c r="L122" s="9"/>
      <c r="M122" s="9"/>
      <c r="N122" s="9"/>
      <c r="O122" s="9"/>
      <c r="P122" s="9"/>
      <c r="Q122" s="9"/>
      <c r="R122" s="9"/>
      <c r="S122" s="9"/>
      <c r="T122" s="9"/>
      <c r="U122" s="9"/>
      <c r="V122" s="9"/>
      <c r="W122" s="9"/>
    </row>
    <row r="123" spans="1:23">
      <c r="A123" s="9"/>
      <c r="B123" s="9"/>
      <c r="C123" s="9"/>
      <c r="D123" s="9"/>
      <c r="E123" s="9"/>
      <c r="F123" s="9"/>
      <c r="G123" s="9"/>
      <c r="H123" s="9"/>
      <c r="I123" s="9"/>
      <c r="J123" s="9"/>
      <c r="K123" s="9"/>
      <c r="L123" s="9"/>
      <c r="M123" s="9"/>
      <c r="N123" s="9"/>
      <c r="O123" s="9"/>
      <c r="P123" s="9"/>
      <c r="Q123" s="9"/>
      <c r="R123" s="9"/>
      <c r="S123" s="9"/>
      <c r="T123" s="9"/>
      <c r="U123" s="9"/>
      <c r="V123" s="9"/>
      <c r="W123" s="9"/>
    </row>
    <row r="124" spans="1:23">
      <c r="A124" s="9"/>
      <c r="B124" s="9"/>
      <c r="C124" s="9"/>
      <c r="D124" s="9"/>
      <c r="E124" s="9"/>
      <c r="F124" s="9"/>
      <c r="G124" s="9"/>
      <c r="H124" s="9"/>
      <c r="I124" s="9"/>
      <c r="J124" s="9"/>
      <c r="K124" s="9"/>
      <c r="L124" s="9"/>
      <c r="M124" s="9"/>
      <c r="N124" s="9"/>
      <c r="O124" s="9"/>
      <c r="P124" s="9"/>
      <c r="Q124" s="9"/>
      <c r="R124" s="9"/>
      <c r="S124" s="9"/>
      <c r="T124" s="9"/>
      <c r="U124" s="9"/>
      <c r="V124" s="9"/>
      <c r="W124" s="9"/>
    </row>
    <row r="125" spans="1:23">
      <c r="A125" s="9"/>
      <c r="B125" s="9"/>
      <c r="C125" s="9"/>
      <c r="D125" s="9"/>
      <c r="E125" s="9"/>
      <c r="F125" s="9"/>
      <c r="G125" s="9"/>
      <c r="H125" s="9"/>
      <c r="I125" s="9"/>
      <c r="J125" s="9"/>
      <c r="K125" s="9"/>
      <c r="L125" s="9"/>
      <c r="M125" s="9"/>
      <c r="N125" s="9"/>
      <c r="O125" s="9"/>
      <c r="P125" s="9"/>
      <c r="Q125" s="9"/>
      <c r="R125" s="9"/>
      <c r="S125" s="9"/>
      <c r="T125" s="9"/>
      <c r="U125" s="9"/>
      <c r="V125" s="9"/>
      <c r="W125" s="9"/>
    </row>
    <row r="126" spans="1:23">
      <c r="A126" s="9"/>
      <c r="B126" s="9"/>
      <c r="C126" s="9"/>
      <c r="D126" s="9"/>
      <c r="E126" s="9"/>
      <c r="F126" s="9"/>
      <c r="G126" s="9"/>
      <c r="H126" s="9"/>
      <c r="I126" s="9"/>
      <c r="J126" s="9"/>
      <c r="K126" s="9"/>
      <c r="L126" s="9"/>
      <c r="M126" s="9"/>
      <c r="N126" s="9"/>
      <c r="O126" s="9"/>
      <c r="P126" s="9"/>
      <c r="Q126" s="9"/>
      <c r="R126" s="9"/>
      <c r="S126" s="9"/>
      <c r="T126" s="9"/>
      <c r="U126" s="9"/>
      <c r="V126" s="9"/>
      <c r="W126" s="9"/>
    </row>
    <row r="127" spans="1:23">
      <c r="A127" s="9"/>
      <c r="B127" s="9"/>
      <c r="C127" s="9"/>
      <c r="D127" s="9"/>
      <c r="E127" s="9"/>
      <c r="F127" s="9"/>
      <c r="G127" s="9"/>
      <c r="H127" s="9"/>
      <c r="I127" s="9"/>
      <c r="J127" s="9"/>
      <c r="K127" s="9"/>
      <c r="L127" s="9"/>
      <c r="M127" s="9"/>
      <c r="N127" s="9"/>
      <c r="O127" s="9"/>
      <c r="P127" s="9"/>
      <c r="Q127" s="9"/>
      <c r="R127" s="9"/>
      <c r="S127" s="9"/>
      <c r="T127" s="9"/>
      <c r="U127" s="9"/>
      <c r="V127" s="9"/>
      <c r="W127" s="9"/>
    </row>
    <row r="128" spans="1:23">
      <c r="A128" s="9"/>
      <c r="B128" s="9"/>
      <c r="C128" s="9"/>
      <c r="D128" s="9"/>
      <c r="E128" s="9"/>
      <c r="F128" s="9"/>
      <c r="G128" s="9"/>
      <c r="H128" s="9"/>
      <c r="I128" s="9"/>
      <c r="J128" s="9"/>
      <c r="K128" s="9"/>
      <c r="L128" s="9"/>
      <c r="M128" s="9"/>
      <c r="N128" s="9"/>
      <c r="O128" s="9"/>
      <c r="P128" s="9"/>
      <c r="Q128" s="9"/>
      <c r="R128" s="9"/>
      <c r="S128" s="9"/>
      <c r="T128" s="9"/>
      <c r="U128" s="9"/>
      <c r="V128" s="9"/>
      <c r="W128" s="9"/>
    </row>
    <row r="129" spans="1:23">
      <c r="A129" s="9"/>
      <c r="B129" s="9"/>
      <c r="C129" s="9"/>
      <c r="D129" s="9"/>
      <c r="E129" s="9"/>
      <c r="F129" s="9"/>
      <c r="G129" s="9"/>
      <c r="H129" s="9"/>
      <c r="I129" s="9"/>
      <c r="J129" s="9"/>
      <c r="K129" s="9"/>
      <c r="L129" s="9"/>
      <c r="M129" s="9"/>
      <c r="N129" s="9"/>
      <c r="O129" s="9"/>
      <c r="P129" s="9"/>
      <c r="Q129" s="9"/>
      <c r="R129" s="9"/>
      <c r="S129" s="9"/>
      <c r="T129" s="9"/>
      <c r="U129" s="9"/>
      <c r="V129" s="9"/>
      <c r="W129" s="9"/>
    </row>
    <row r="130" spans="1:23">
      <c r="A130" s="9"/>
      <c r="B130" s="9"/>
      <c r="C130" s="9"/>
      <c r="D130" s="9"/>
      <c r="E130" s="9"/>
      <c r="F130" s="9"/>
      <c r="G130" s="9"/>
      <c r="H130" s="9"/>
      <c r="I130" s="9"/>
      <c r="J130" s="9"/>
      <c r="K130" s="9"/>
      <c r="L130" s="9"/>
      <c r="M130" s="9"/>
      <c r="N130" s="9"/>
      <c r="O130" s="9"/>
      <c r="P130" s="9"/>
      <c r="Q130" s="9"/>
      <c r="R130" s="9"/>
      <c r="S130" s="9"/>
      <c r="T130" s="9"/>
      <c r="U130" s="9"/>
      <c r="V130" s="9"/>
      <c r="W130" s="9"/>
    </row>
    <row r="131" spans="1:23">
      <c r="A131" s="9"/>
      <c r="B131" s="9"/>
      <c r="C131" s="9"/>
      <c r="D131" s="9"/>
      <c r="E131" s="9"/>
      <c r="F131" s="9"/>
      <c r="G131" s="9"/>
      <c r="H131" s="9"/>
      <c r="I131" s="9"/>
      <c r="J131" s="9"/>
      <c r="K131" s="9"/>
      <c r="L131" s="9"/>
      <c r="M131" s="9"/>
      <c r="N131" s="9"/>
      <c r="O131" s="9"/>
      <c r="P131" s="9"/>
      <c r="Q131" s="9"/>
      <c r="R131" s="9"/>
      <c r="S131" s="9"/>
      <c r="T131" s="9"/>
      <c r="U131" s="9"/>
      <c r="V131" s="9"/>
      <c r="W131" s="9"/>
    </row>
    <row r="132" spans="1:23">
      <c r="A132" s="9"/>
      <c r="B132" s="9"/>
      <c r="C132" s="9"/>
      <c r="D132" s="9"/>
      <c r="E132" s="9"/>
      <c r="F132" s="9"/>
      <c r="G132" s="9"/>
      <c r="H132" s="9"/>
      <c r="I132" s="9"/>
      <c r="J132" s="9"/>
      <c r="K132" s="9"/>
      <c r="L132" s="9"/>
      <c r="M132" s="9"/>
      <c r="N132" s="9"/>
      <c r="O132" s="9"/>
      <c r="P132" s="9"/>
      <c r="Q132" s="9"/>
      <c r="R132" s="9"/>
      <c r="S132" s="9"/>
      <c r="T132" s="9"/>
      <c r="U132" s="9"/>
      <c r="V132" s="9"/>
      <c r="W132" s="9"/>
    </row>
    <row r="133" spans="1:23">
      <c r="A133" s="9"/>
      <c r="B133" s="9"/>
      <c r="C133" s="9"/>
      <c r="D133" s="9"/>
      <c r="E133" s="9"/>
      <c r="F133" s="9"/>
      <c r="G133" s="9"/>
      <c r="H133" s="9"/>
      <c r="I133" s="9"/>
      <c r="J133" s="9"/>
      <c r="K133" s="9"/>
      <c r="L133" s="9"/>
      <c r="M133" s="9"/>
      <c r="N133" s="9"/>
      <c r="O133" s="9"/>
      <c r="P133" s="9"/>
      <c r="Q133" s="9"/>
      <c r="R133" s="9"/>
      <c r="S133" s="9"/>
      <c r="T133" s="9"/>
      <c r="U133" s="9"/>
      <c r="V133" s="9"/>
      <c r="W133" s="9"/>
    </row>
    <row r="134" spans="1:23">
      <c r="A134" s="9"/>
      <c r="B134" s="9"/>
      <c r="C134" s="9"/>
      <c r="D134" s="9"/>
      <c r="E134" s="9"/>
      <c r="F134" s="9"/>
      <c r="G134" s="9"/>
      <c r="H134" s="9"/>
      <c r="I134" s="9"/>
      <c r="J134" s="9"/>
      <c r="K134" s="9"/>
      <c r="L134" s="9"/>
      <c r="M134" s="9"/>
      <c r="N134" s="9"/>
      <c r="O134" s="9"/>
      <c r="P134" s="9"/>
      <c r="Q134" s="9"/>
      <c r="R134" s="9"/>
      <c r="S134" s="9"/>
      <c r="T134" s="9"/>
      <c r="U134" s="9"/>
      <c r="V134" s="9"/>
      <c r="W134" s="9"/>
    </row>
    <row r="135" spans="1:23">
      <c r="A135" s="9"/>
      <c r="B135" s="9"/>
      <c r="C135" s="9"/>
      <c r="D135" s="9"/>
      <c r="E135" s="9"/>
      <c r="F135" s="9"/>
      <c r="G135" s="9"/>
      <c r="H135" s="9"/>
      <c r="I135" s="9"/>
      <c r="J135" s="9"/>
      <c r="K135" s="9"/>
      <c r="L135" s="9"/>
      <c r="M135" s="9"/>
      <c r="N135" s="9"/>
      <c r="O135" s="9"/>
      <c r="P135" s="9"/>
      <c r="Q135" s="9"/>
      <c r="R135" s="9"/>
      <c r="S135" s="9"/>
      <c r="T135" s="9"/>
      <c r="U135" s="9"/>
      <c r="V135" s="9"/>
      <c r="W135" s="9"/>
    </row>
    <row r="136" spans="1:23">
      <c r="A136" s="9"/>
      <c r="B136" s="9"/>
      <c r="C136" s="9"/>
      <c r="D136" s="9"/>
      <c r="E136" s="9"/>
      <c r="F136" s="9"/>
      <c r="G136" s="9"/>
      <c r="H136" s="9"/>
      <c r="I136" s="9"/>
      <c r="J136" s="9"/>
      <c r="K136" s="9"/>
      <c r="L136" s="9"/>
      <c r="M136" s="9"/>
      <c r="N136" s="9"/>
      <c r="O136" s="9"/>
      <c r="P136" s="9"/>
      <c r="Q136" s="9"/>
      <c r="R136" s="9"/>
      <c r="S136" s="9"/>
      <c r="T136" s="9"/>
      <c r="U136" s="9"/>
      <c r="V136" s="9"/>
      <c r="W136" s="9"/>
    </row>
    <row r="137" spans="1:23">
      <c r="A137" s="9"/>
      <c r="B137" s="9"/>
      <c r="C137" s="9"/>
      <c r="D137" s="9"/>
      <c r="E137" s="9"/>
      <c r="F137" s="9"/>
      <c r="G137" s="9"/>
      <c r="H137" s="9"/>
      <c r="I137" s="9"/>
      <c r="J137" s="9"/>
      <c r="K137" s="9"/>
      <c r="L137" s="9"/>
      <c r="M137" s="9"/>
      <c r="N137" s="9"/>
      <c r="O137" s="9"/>
      <c r="P137" s="9"/>
      <c r="Q137" s="9"/>
      <c r="R137" s="9"/>
      <c r="S137" s="9"/>
      <c r="T137" s="9"/>
      <c r="U137" s="9"/>
      <c r="V137" s="9"/>
      <c r="W137" s="9"/>
    </row>
    <row r="138" spans="1:23">
      <c r="A138" s="9"/>
      <c r="B138" s="9"/>
      <c r="C138" s="9"/>
      <c r="D138" s="9"/>
      <c r="E138" s="9"/>
      <c r="F138" s="9"/>
      <c r="G138" s="9"/>
      <c r="H138" s="9"/>
      <c r="I138" s="9"/>
      <c r="J138" s="9"/>
      <c r="K138" s="9"/>
      <c r="L138" s="9"/>
      <c r="M138" s="9"/>
      <c r="N138" s="9"/>
      <c r="O138" s="9"/>
      <c r="P138" s="9"/>
      <c r="Q138" s="9"/>
      <c r="R138" s="9"/>
      <c r="S138" s="9"/>
      <c r="T138" s="9"/>
      <c r="U138" s="9"/>
      <c r="V138" s="9"/>
      <c r="W138" s="9"/>
    </row>
    <row r="139" spans="1:23">
      <c r="A139" s="9"/>
      <c r="B139" s="9"/>
      <c r="C139" s="9"/>
      <c r="D139" s="9"/>
      <c r="E139" s="9"/>
      <c r="F139" s="9"/>
      <c r="G139" s="9"/>
      <c r="H139" s="9"/>
      <c r="I139" s="9"/>
      <c r="J139" s="9"/>
      <c r="K139" s="9"/>
      <c r="L139" s="9"/>
      <c r="M139" s="9"/>
      <c r="N139" s="9"/>
      <c r="O139" s="9"/>
      <c r="P139" s="9"/>
      <c r="Q139" s="9"/>
      <c r="R139" s="9"/>
      <c r="S139" s="9"/>
      <c r="T139" s="9"/>
      <c r="U139" s="9"/>
      <c r="V139" s="9"/>
      <c r="W139" s="9"/>
    </row>
    <row r="140" spans="1:23">
      <c r="A140" s="9"/>
      <c r="B140" s="9"/>
      <c r="C140" s="9"/>
      <c r="D140" s="9"/>
      <c r="E140" s="9"/>
      <c r="F140" s="9"/>
      <c r="G140" s="9"/>
      <c r="H140" s="9"/>
      <c r="I140" s="9"/>
      <c r="J140" s="9"/>
      <c r="K140" s="9"/>
      <c r="L140" s="9"/>
      <c r="M140" s="9"/>
      <c r="N140" s="9"/>
      <c r="O140" s="9"/>
      <c r="P140" s="9"/>
      <c r="Q140" s="9"/>
      <c r="R140" s="9"/>
      <c r="S140" s="9"/>
      <c r="T140" s="9"/>
      <c r="U140" s="9"/>
      <c r="V140" s="9"/>
      <c r="W140" s="9"/>
    </row>
    <row r="141" spans="1:23">
      <c r="A141" s="9"/>
      <c r="B141" s="9"/>
      <c r="C141" s="9"/>
      <c r="D141" s="9"/>
      <c r="E141" s="9"/>
      <c r="F141" s="9"/>
      <c r="G141" s="9"/>
      <c r="H141" s="9"/>
      <c r="I141" s="9"/>
      <c r="J141" s="9"/>
      <c r="K141" s="9"/>
      <c r="L141" s="9"/>
      <c r="M141" s="9"/>
      <c r="N141" s="9"/>
      <c r="O141" s="9"/>
      <c r="P141" s="9"/>
      <c r="Q141" s="9"/>
      <c r="R141" s="9"/>
      <c r="S141" s="9"/>
      <c r="T141" s="9"/>
      <c r="U141" s="9"/>
      <c r="V141" s="9"/>
      <c r="W141" s="9"/>
    </row>
    <row r="142" spans="1:23">
      <c r="A142" s="9"/>
      <c r="B142" s="9"/>
      <c r="C142" s="9"/>
      <c r="D142" s="9"/>
      <c r="E142" s="9"/>
      <c r="F142" s="9"/>
      <c r="G142" s="9"/>
      <c r="H142" s="9"/>
      <c r="I142" s="9"/>
      <c r="J142" s="9"/>
      <c r="K142" s="9"/>
      <c r="L142" s="9"/>
      <c r="M142" s="9"/>
      <c r="N142" s="9"/>
      <c r="O142" s="9"/>
      <c r="P142" s="9"/>
      <c r="Q142" s="9"/>
      <c r="R142" s="9"/>
      <c r="S142" s="9"/>
      <c r="T142" s="9"/>
      <c r="U142" s="9"/>
      <c r="V142" s="9"/>
      <c r="W142" s="9"/>
    </row>
    <row r="143" spans="1:23">
      <c r="A143" s="9"/>
      <c r="B143" s="9"/>
      <c r="C143" s="9"/>
      <c r="D143" s="9"/>
      <c r="E143" s="9"/>
      <c r="F143" s="9"/>
      <c r="G143" s="9"/>
      <c r="H143" s="9"/>
      <c r="I143" s="9"/>
      <c r="J143" s="9"/>
      <c r="K143" s="9"/>
      <c r="L143" s="9"/>
      <c r="M143" s="9"/>
      <c r="N143" s="9"/>
      <c r="O143" s="9"/>
      <c r="P143" s="9"/>
      <c r="Q143" s="9"/>
      <c r="R143" s="9"/>
      <c r="S143" s="9"/>
      <c r="T143" s="9"/>
      <c r="U143" s="9"/>
      <c r="V143" s="9"/>
      <c r="W143" s="9"/>
    </row>
    <row r="144" spans="1:23">
      <c r="A144" s="9"/>
      <c r="B144" s="9"/>
      <c r="C144" s="9"/>
      <c r="D144" s="9"/>
      <c r="E144" s="9"/>
      <c r="F144" s="9"/>
      <c r="G144" s="9"/>
      <c r="H144" s="9"/>
      <c r="I144" s="9"/>
      <c r="J144" s="9"/>
      <c r="K144" s="9"/>
      <c r="L144" s="9"/>
      <c r="M144" s="9"/>
      <c r="N144" s="9"/>
      <c r="O144" s="9"/>
      <c r="P144" s="9"/>
      <c r="Q144" s="9"/>
      <c r="R144" s="9"/>
      <c r="S144" s="9"/>
      <c r="T144" s="9"/>
      <c r="U144" s="9"/>
      <c r="V144" s="9"/>
      <c r="W144" s="9"/>
    </row>
    <row r="145" spans="1:23">
      <c r="A145" s="9"/>
      <c r="B145" s="9"/>
      <c r="C145" s="9"/>
      <c r="D145" s="9"/>
      <c r="E145" s="9"/>
      <c r="F145" s="9"/>
      <c r="G145" s="9"/>
      <c r="H145" s="9"/>
      <c r="I145" s="9"/>
      <c r="J145" s="9"/>
      <c r="K145" s="9"/>
      <c r="L145" s="9"/>
      <c r="M145" s="9"/>
      <c r="N145" s="9"/>
      <c r="O145" s="9"/>
      <c r="P145" s="9"/>
      <c r="Q145" s="9"/>
      <c r="R145" s="9"/>
      <c r="S145" s="9"/>
      <c r="T145" s="9"/>
      <c r="U145" s="9"/>
      <c r="V145" s="9"/>
      <c r="W145" s="9"/>
    </row>
    <row r="146" spans="1:23">
      <c r="A146" s="9"/>
      <c r="B146" s="9"/>
      <c r="C146" s="9"/>
      <c r="D146" s="9"/>
      <c r="E146" s="9"/>
      <c r="F146" s="9"/>
      <c r="G146" s="9"/>
      <c r="H146" s="9"/>
      <c r="I146" s="9"/>
      <c r="J146" s="9"/>
      <c r="K146" s="9"/>
      <c r="L146" s="9"/>
      <c r="M146" s="9"/>
      <c r="N146" s="9"/>
      <c r="O146" s="9"/>
      <c r="P146" s="9"/>
      <c r="Q146" s="9"/>
      <c r="R146" s="9"/>
      <c r="S146" s="9"/>
      <c r="T146" s="9"/>
      <c r="U146" s="9"/>
      <c r="V146" s="9"/>
      <c r="W146" s="9"/>
    </row>
    <row r="147" spans="1:23">
      <c r="A147" s="9"/>
      <c r="B147" s="9"/>
      <c r="C147" s="9"/>
      <c r="D147" s="9"/>
      <c r="E147" s="9"/>
      <c r="F147" s="9"/>
      <c r="G147" s="9"/>
      <c r="H147" s="9"/>
      <c r="I147" s="9"/>
      <c r="J147" s="9"/>
      <c r="K147" s="9"/>
      <c r="L147" s="9"/>
      <c r="M147" s="9"/>
      <c r="N147" s="9"/>
      <c r="O147" s="9"/>
      <c r="P147" s="9"/>
      <c r="Q147" s="9"/>
      <c r="R147" s="9"/>
      <c r="S147" s="9"/>
      <c r="T147" s="9"/>
      <c r="U147" s="9"/>
      <c r="V147" s="9"/>
      <c r="W147" s="9"/>
    </row>
    <row r="148" spans="1:23">
      <c r="A148" s="9"/>
      <c r="B148" s="9"/>
      <c r="C148" s="9"/>
      <c r="D148" s="9"/>
      <c r="E148" s="9"/>
      <c r="F148" s="9"/>
      <c r="G148" s="9"/>
      <c r="H148" s="9"/>
      <c r="I148" s="9"/>
      <c r="J148" s="9"/>
      <c r="K148" s="9"/>
      <c r="L148" s="9"/>
      <c r="M148" s="9"/>
      <c r="N148" s="9"/>
      <c r="O148" s="9"/>
      <c r="P148" s="9"/>
      <c r="Q148" s="9"/>
      <c r="R148" s="9"/>
      <c r="S148" s="9"/>
      <c r="T148" s="9"/>
      <c r="U148" s="9"/>
      <c r="V148" s="9"/>
      <c r="W148" s="9"/>
    </row>
    <row r="149" spans="1:23">
      <c r="A149" s="9"/>
      <c r="B149" s="9"/>
      <c r="C149" s="9"/>
      <c r="D149" s="9"/>
      <c r="E149" s="9"/>
      <c r="F149" s="9"/>
      <c r="G149" s="9"/>
      <c r="H149" s="9"/>
      <c r="I149" s="9"/>
      <c r="J149" s="9"/>
      <c r="K149" s="9"/>
      <c r="L149" s="9"/>
      <c r="M149" s="9"/>
      <c r="N149" s="9"/>
      <c r="O149" s="9"/>
      <c r="P149" s="9"/>
      <c r="Q149" s="9"/>
      <c r="R149" s="9"/>
      <c r="S149" s="9"/>
      <c r="T149" s="9"/>
      <c r="U149" s="9"/>
      <c r="V149" s="9"/>
      <c r="W149" s="9"/>
    </row>
    <row r="150" spans="1:23">
      <c r="A150" s="9"/>
      <c r="B150" s="9"/>
      <c r="C150" s="9"/>
      <c r="D150" s="9"/>
      <c r="E150" s="9"/>
      <c r="F150" s="9"/>
      <c r="G150" s="9"/>
      <c r="H150" s="9"/>
      <c r="I150" s="9"/>
      <c r="J150" s="9"/>
      <c r="K150" s="9"/>
      <c r="L150" s="9"/>
      <c r="M150" s="9"/>
      <c r="N150" s="9"/>
      <c r="O150" s="9"/>
      <c r="P150" s="9"/>
      <c r="Q150" s="9"/>
      <c r="R150" s="9"/>
      <c r="S150" s="9"/>
      <c r="T150" s="9"/>
      <c r="U150" s="9"/>
      <c r="V150" s="9"/>
      <c r="W150" s="9"/>
    </row>
    <row r="151" spans="1:23">
      <c r="A151" s="9"/>
      <c r="B151" s="9"/>
      <c r="C151" s="9"/>
      <c r="D151" s="9"/>
      <c r="E151" s="9"/>
      <c r="F151" s="9"/>
      <c r="G151" s="9"/>
      <c r="H151" s="9"/>
      <c r="I151" s="9"/>
      <c r="J151" s="9"/>
      <c r="K151" s="9"/>
      <c r="L151" s="9"/>
      <c r="M151" s="9"/>
      <c r="N151" s="9"/>
      <c r="O151" s="9"/>
      <c r="P151" s="9"/>
      <c r="Q151" s="9"/>
      <c r="R151" s="9"/>
      <c r="S151" s="9"/>
      <c r="T151" s="9"/>
      <c r="U151" s="9"/>
      <c r="V151" s="9"/>
      <c r="W151" s="9"/>
    </row>
    <row r="152" spans="1:23">
      <c r="A152" s="9"/>
      <c r="B152" s="9"/>
      <c r="C152" s="9"/>
      <c r="D152" s="9"/>
      <c r="E152" s="9"/>
      <c r="F152" s="9"/>
      <c r="G152" s="9"/>
      <c r="H152" s="9"/>
      <c r="I152" s="9"/>
      <c r="J152" s="9"/>
      <c r="K152" s="9"/>
      <c r="L152" s="9"/>
      <c r="M152" s="9"/>
      <c r="N152" s="9"/>
      <c r="O152" s="9"/>
      <c r="P152" s="9"/>
      <c r="Q152" s="9"/>
      <c r="R152" s="9"/>
      <c r="S152" s="9"/>
      <c r="T152" s="9"/>
      <c r="U152" s="9"/>
      <c r="V152" s="9"/>
      <c r="W152" s="9"/>
    </row>
    <row r="153" spans="1:23">
      <c r="A153" s="9"/>
      <c r="B153" s="9"/>
      <c r="C153" s="9"/>
      <c r="D153" s="9"/>
      <c r="E153" s="9"/>
      <c r="F153" s="9"/>
      <c r="G153" s="9"/>
      <c r="H153" s="9"/>
      <c r="I153" s="9"/>
      <c r="J153" s="9"/>
      <c r="K153" s="9"/>
      <c r="L153" s="9"/>
      <c r="M153" s="9"/>
      <c r="N153" s="9"/>
      <c r="O153" s="9"/>
      <c r="P153" s="9"/>
      <c r="Q153" s="9"/>
      <c r="R153" s="9"/>
      <c r="S153" s="9"/>
      <c r="T153" s="9"/>
      <c r="U153" s="9"/>
      <c r="V153" s="9"/>
      <c r="W153" s="9"/>
    </row>
    <row r="154" spans="1:23">
      <c r="A154" s="9"/>
      <c r="B154" s="9"/>
      <c r="C154" s="9"/>
      <c r="D154" s="9"/>
      <c r="E154" s="9"/>
      <c r="F154" s="9"/>
      <c r="G154" s="9"/>
      <c r="H154" s="9"/>
      <c r="I154" s="9"/>
      <c r="J154" s="9"/>
      <c r="K154" s="9"/>
      <c r="L154" s="9"/>
      <c r="M154" s="9"/>
      <c r="N154" s="9"/>
      <c r="O154" s="9"/>
      <c r="P154" s="9"/>
      <c r="Q154" s="9"/>
      <c r="R154" s="9"/>
      <c r="S154" s="9"/>
      <c r="T154" s="9"/>
      <c r="U154" s="9"/>
      <c r="V154" s="9"/>
      <c r="W154" s="9"/>
    </row>
    <row r="155" spans="1:23">
      <c r="A155" s="9"/>
      <c r="B155" s="9"/>
      <c r="C155" s="9"/>
      <c r="D155" s="9"/>
      <c r="E155" s="9"/>
      <c r="F155" s="9"/>
      <c r="G155" s="9"/>
      <c r="H155" s="9"/>
      <c r="I155" s="9"/>
      <c r="J155" s="9"/>
      <c r="K155" s="9"/>
      <c r="L155" s="9"/>
      <c r="M155" s="9"/>
      <c r="N155" s="9"/>
      <c r="O155" s="9"/>
      <c r="P155" s="9"/>
      <c r="Q155" s="9"/>
      <c r="R155" s="9"/>
      <c r="S155" s="9"/>
      <c r="T155" s="9"/>
      <c r="U155" s="9"/>
      <c r="V155" s="9"/>
      <c r="W155" s="9"/>
    </row>
    <row r="156" spans="1:23">
      <c r="A156" s="9"/>
      <c r="B156" s="9"/>
      <c r="C156" s="9"/>
      <c r="D156" s="9"/>
      <c r="E156" s="9"/>
      <c r="F156" s="9"/>
      <c r="G156" s="9"/>
      <c r="H156" s="9"/>
      <c r="I156" s="9"/>
      <c r="J156" s="9"/>
      <c r="K156" s="9"/>
      <c r="L156" s="9"/>
      <c r="M156" s="9"/>
      <c r="N156" s="9"/>
      <c r="O156" s="9"/>
      <c r="P156" s="9"/>
      <c r="Q156" s="9"/>
      <c r="R156" s="9"/>
      <c r="S156" s="9"/>
      <c r="T156" s="9"/>
      <c r="U156" s="9"/>
      <c r="V156" s="9"/>
      <c r="W156" s="9"/>
    </row>
    <row r="157" spans="1:23">
      <c r="A157" s="9"/>
      <c r="B157" s="9"/>
      <c r="C157" s="9"/>
      <c r="D157" s="9"/>
      <c r="E157" s="9"/>
      <c r="F157" s="9"/>
      <c r="G157" s="9"/>
      <c r="H157" s="9"/>
      <c r="I157" s="9"/>
      <c r="J157" s="9"/>
      <c r="K157" s="9"/>
      <c r="L157" s="9"/>
      <c r="M157" s="9"/>
      <c r="N157" s="9"/>
      <c r="O157" s="9"/>
      <c r="P157" s="9"/>
      <c r="Q157" s="9"/>
      <c r="R157" s="9"/>
      <c r="S157" s="9"/>
      <c r="T157" s="9"/>
      <c r="U157" s="9"/>
      <c r="V157" s="9"/>
      <c r="W157" s="9"/>
    </row>
    <row r="158" spans="1:23">
      <c r="A158" s="9"/>
      <c r="B158" s="9"/>
      <c r="C158" s="9"/>
      <c r="D158" s="9"/>
      <c r="E158" s="9"/>
      <c r="F158" s="9"/>
      <c r="G158" s="9"/>
      <c r="H158" s="9"/>
      <c r="I158" s="9"/>
      <c r="J158" s="9"/>
      <c r="K158" s="9"/>
      <c r="L158" s="9"/>
      <c r="M158" s="9"/>
      <c r="N158" s="9"/>
      <c r="O158" s="9"/>
      <c r="P158" s="9"/>
      <c r="R158" s="9"/>
      <c r="S158" s="9"/>
      <c r="T158" s="9"/>
      <c r="U158" s="9"/>
      <c r="V158" s="9"/>
      <c r="W158" s="9"/>
    </row>
    <row r="159" spans="1:23">
      <c r="K159" s="9"/>
      <c r="L159" s="9"/>
      <c r="M159" s="9"/>
      <c r="N159" s="9"/>
      <c r="O159" s="9"/>
    </row>
  </sheetData>
  <sheetProtection algorithmName="SHA-512" hashValue="QQ9F8xN64rRjUfzW8e+Nbji0G3RKkUEP15YkAw6iP68SbPMl8cxomeybP+anKJfAos0eeD3gVP2Gl0HLOu2uKQ==" saltValue="ZaELTQhtLXuVnq2yT16+1A==" spinCount="100000" sheet="1" objects="1" scenarios="1" selectLockedCells="1"/>
  <mergeCells count="2">
    <mergeCell ref="H2:I2"/>
    <mergeCell ref="K1:O1"/>
  </mergeCells>
  <phoneticPr fontId="0" type="noConversion"/>
  <pageMargins left="0.78740157480314965" right="0.78740157480314965" top="0.98425196850393704" bottom="0.98425196850393704" header="0.51181102362204722" footer="0.51181102362204722"/>
  <pageSetup paperSize="9" scale="93" orientation="landscape" blackAndWhite="1"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1">
    <tabColor rgb="FF00B0F0"/>
    <pageSetUpPr fitToPage="1"/>
  </sheetPr>
  <dimension ref="A1:J50"/>
  <sheetViews>
    <sheetView zoomScaleNormal="100" workbookViewId="0" xr3:uid="{44B22561-5205-5C8A-B808-2C70100D228F}">
      <selection activeCell="D12" sqref="D12"/>
    </sheetView>
  </sheetViews>
  <sheetFormatPr defaultRowHeight="12.75"/>
  <cols>
    <col min="2" max="2" width="30.85546875" customWidth="1"/>
    <col min="3" max="3" width="8.28515625" customWidth="1"/>
    <col min="4" max="4" width="5.140625" customWidth="1"/>
    <col min="5" max="5" width="8.140625" customWidth="1"/>
    <col min="6" max="6" width="10.140625" bestFit="1" customWidth="1"/>
    <col min="7" max="7" width="7.7109375" bestFit="1" customWidth="1"/>
    <col min="8" max="8" width="5.28515625" bestFit="1" customWidth="1"/>
    <col min="9" max="9" width="7.7109375" customWidth="1"/>
    <col min="10" max="10" width="5.7109375" customWidth="1"/>
  </cols>
  <sheetData>
    <row r="1" spans="1:10">
      <c r="A1" s="50"/>
      <c r="B1" s="50"/>
      <c r="C1" s="50"/>
      <c r="D1" s="50"/>
      <c r="E1" s="50"/>
      <c r="F1" s="50"/>
      <c r="G1" s="50"/>
      <c r="H1" s="50"/>
      <c r="I1" s="50"/>
      <c r="J1" s="50"/>
    </row>
    <row r="2" spans="1:10">
      <c r="A2" s="50"/>
      <c r="B2" s="66" t="s">
        <v>407</v>
      </c>
      <c r="C2" s="50"/>
      <c r="D2" s="50"/>
      <c r="E2" s="50"/>
      <c r="F2" s="50"/>
      <c r="G2" s="50"/>
      <c r="H2" s="50"/>
      <c r="I2" s="50"/>
      <c r="J2" s="50"/>
    </row>
    <row r="3" spans="1:10">
      <c r="A3" s="50"/>
      <c r="B3" s="50" t="str">
        <f>IF(Sammandrag!E3&gt;0,Sammandrag!E3,"")</f>
        <v/>
      </c>
      <c r="C3" s="50"/>
      <c r="D3" s="50"/>
      <c r="E3" s="50"/>
      <c r="F3" s="50"/>
      <c r="G3" s="50"/>
      <c r="H3" s="50"/>
      <c r="I3" s="50"/>
      <c r="J3" s="50"/>
    </row>
    <row r="4" spans="1:10">
      <c r="A4" s="50"/>
      <c r="B4" s="50"/>
      <c r="C4" s="50"/>
      <c r="D4" s="50"/>
      <c r="E4" s="50"/>
      <c r="F4" s="50"/>
      <c r="G4" s="50"/>
      <c r="H4" s="50"/>
      <c r="I4" s="50"/>
      <c r="J4" s="50"/>
    </row>
    <row r="5" spans="1:10">
      <c r="A5" s="50"/>
      <c r="B5" s="50"/>
      <c r="C5" s="50"/>
      <c r="D5" s="50"/>
      <c r="E5" s="50"/>
      <c r="F5" s="50"/>
      <c r="G5" s="50"/>
      <c r="H5" s="50"/>
      <c r="I5" s="50"/>
      <c r="J5" s="50"/>
    </row>
    <row r="6" spans="1:10">
      <c r="A6" s="50"/>
      <c r="B6" s="50" t="s">
        <v>408</v>
      </c>
      <c r="C6" s="50"/>
      <c r="D6" s="50"/>
      <c r="E6" s="50"/>
      <c r="F6" s="50"/>
      <c r="G6" s="50"/>
      <c r="H6" s="50"/>
      <c r="I6" s="50"/>
      <c r="J6" s="50"/>
    </row>
    <row r="7" spans="1:10" ht="13.5" thickBot="1">
      <c r="A7" s="50"/>
      <c r="B7" s="66"/>
      <c r="C7" s="50"/>
      <c r="D7" s="50"/>
      <c r="E7" s="50"/>
      <c r="F7" s="50"/>
      <c r="G7" s="50"/>
      <c r="H7" s="50"/>
      <c r="I7" s="50"/>
      <c r="J7" s="50"/>
    </row>
    <row r="8" spans="1:10" ht="13.5" thickBot="1">
      <c r="A8" s="50"/>
      <c r="B8" s="50"/>
      <c r="C8" s="257" t="s">
        <v>274</v>
      </c>
      <c r="D8" s="518"/>
      <c r="E8" s="257" t="s">
        <v>409</v>
      </c>
      <c r="F8" s="258"/>
      <c r="G8" s="258"/>
      <c r="H8" s="258"/>
      <c r="I8" s="258"/>
      <c r="J8" s="518"/>
    </row>
    <row r="9" spans="1:10" ht="39.75" thickTop="1" thickBot="1">
      <c r="A9" s="50"/>
      <c r="B9" s="322">
        <v>44562</v>
      </c>
      <c r="C9" s="281"/>
      <c r="D9" s="282" t="s">
        <v>410</v>
      </c>
      <c r="E9" s="281" t="s">
        <v>411</v>
      </c>
      <c r="F9" s="282" t="s">
        <v>410</v>
      </c>
      <c r="G9" s="281" t="s">
        <v>412</v>
      </c>
      <c r="H9" s="282" t="s">
        <v>410</v>
      </c>
      <c r="I9" s="281" t="s">
        <v>413</v>
      </c>
      <c r="J9" s="282" t="s">
        <v>410</v>
      </c>
    </row>
    <row r="10" spans="1:10" ht="15.75" thickBot="1">
      <c r="A10" s="50"/>
      <c r="B10" s="259" t="s">
        <v>414</v>
      </c>
      <c r="C10" s="279">
        <v>524</v>
      </c>
      <c r="D10" s="296"/>
      <c r="E10" s="280">
        <v>2409</v>
      </c>
      <c r="F10" s="296"/>
      <c r="G10" s="280">
        <v>2933</v>
      </c>
      <c r="H10" s="296"/>
      <c r="I10" s="280">
        <v>3457</v>
      </c>
      <c r="J10" s="296"/>
    </row>
    <row r="11" spans="1:10" ht="16.5" thickTop="1" thickBot="1">
      <c r="A11" s="50"/>
      <c r="B11" s="259" t="s">
        <v>415</v>
      </c>
      <c r="C11" s="339">
        <v>524</v>
      </c>
      <c r="D11" s="297"/>
      <c r="E11" s="340">
        <v>2828</v>
      </c>
      <c r="F11" s="297"/>
      <c r="G11" s="340">
        <v>3143</v>
      </c>
      <c r="H11" s="297"/>
      <c r="I11" s="340">
        <v>3457</v>
      </c>
      <c r="J11" s="297"/>
    </row>
    <row r="12" spans="1:10" ht="15">
      <c r="A12" s="50"/>
      <c r="B12" s="259" t="s">
        <v>416</v>
      </c>
      <c r="C12" s="276">
        <v>524</v>
      </c>
      <c r="D12" s="298"/>
      <c r="E12" s="277">
        <v>2828</v>
      </c>
      <c r="F12" s="298"/>
      <c r="G12" s="277">
        <v>3143</v>
      </c>
      <c r="H12" s="298"/>
      <c r="I12" s="277">
        <v>3457</v>
      </c>
      <c r="J12" s="298"/>
    </row>
    <row r="13" spans="1:10" ht="15">
      <c r="A13" s="50"/>
      <c r="B13" s="283"/>
      <c r="C13" s="260"/>
      <c r="D13" s="284"/>
      <c r="E13" s="261"/>
      <c r="F13" s="261"/>
      <c r="G13" s="261"/>
      <c r="H13" s="50"/>
      <c r="I13" s="50"/>
      <c r="J13" s="50"/>
    </row>
    <row r="14" spans="1:10" ht="15">
      <c r="A14" s="50"/>
      <c r="B14" s="285" t="s">
        <v>417</v>
      </c>
      <c r="C14" s="284">
        <f>D10+D11+D12</f>
        <v>0</v>
      </c>
      <c r="D14" s="284"/>
      <c r="E14" s="261"/>
      <c r="F14" s="261"/>
      <c r="G14" s="261"/>
      <c r="H14" s="50"/>
      <c r="I14" s="50"/>
      <c r="J14" s="50"/>
    </row>
    <row r="15" spans="1:10" ht="15">
      <c r="A15" s="50"/>
      <c r="B15" s="285" t="s">
        <v>418</v>
      </c>
      <c r="C15" s="284">
        <f>F10+F11+F12+H10+H11+H12+J10+J11+J12</f>
        <v>0</v>
      </c>
      <c r="D15" s="284"/>
      <c r="E15" s="261"/>
      <c r="F15" s="287" t="s">
        <v>419</v>
      </c>
      <c r="G15" s="261"/>
      <c r="H15" s="519">
        <f>E10*F10+E11*F11+E12*F12+G10*H10+G11*H11+G12*H12+I10*J10+I11*J11+I12*J12</f>
        <v>0</v>
      </c>
      <c r="I15" s="517"/>
      <c r="J15" s="50"/>
    </row>
    <row r="16" spans="1:10" ht="15">
      <c r="A16" s="50"/>
      <c r="B16" s="285"/>
      <c r="C16" s="261"/>
      <c r="D16" s="284"/>
      <c r="E16" s="261"/>
      <c r="F16" s="261"/>
      <c r="G16" s="261"/>
      <c r="H16" s="50"/>
      <c r="I16" s="50"/>
      <c r="J16" s="50"/>
    </row>
    <row r="17" spans="1:10" ht="15">
      <c r="A17" s="50"/>
      <c r="B17" s="262" t="s">
        <v>420</v>
      </c>
      <c r="C17" s="261"/>
      <c r="D17" s="261"/>
      <c r="E17" s="261"/>
      <c r="F17" s="261"/>
      <c r="G17" s="50"/>
      <c r="H17" s="50"/>
      <c r="I17" s="50"/>
      <c r="J17" s="50"/>
    </row>
    <row r="18" spans="1:10" ht="38.450000000000003" customHeight="1">
      <c r="A18" s="50"/>
      <c r="B18" s="386" t="s">
        <v>421</v>
      </c>
      <c r="C18" s="387"/>
      <c r="D18" s="387"/>
      <c r="E18" s="387"/>
      <c r="F18" s="387"/>
      <c r="G18" s="387"/>
      <c r="H18" s="50"/>
      <c r="I18" s="50"/>
      <c r="J18" s="50"/>
    </row>
    <row r="19" spans="1:10" ht="15">
      <c r="A19" s="50"/>
      <c r="B19" s="263"/>
      <c r="C19" s="50"/>
      <c r="D19" s="50"/>
      <c r="E19" s="50"/>
      <c r="F19" s="50"/>
      <c r="G19" s="50"/>
      <c r="H19" s="50"/>
      <c r="I19" s="50"/>
      <c r="J19" s="50"/>
    </row>
    <row r="20" spans="1:10" ht="15">
      <c r="A20" s="50"/>
      <c r="B20" s="263"/>
      <c r="C20" s="50"/>
      <c r="D20" s="50"/>
      <c r="E20" s="50"/>
      <c r="F20" s="50"/>
      <c r="G20" s="50"/>
      <c r="H20" s="50"/>
      <c r="I20" s="50"/>
      <c r="J20" s="50"/>
    </row>
    <row r="21" spans="1:10" ht="15">
      <c r="A21" s="50"/>
      <c r="B21" s="263"/>
      <c r="C21" s="50"/>
      <c r="D21" s="50"/>
      <c r="E21" s="50"/>
      <c r="F21" s="50"/>
      <c r="G21" s="50"/>
      <c r="H21" s="50"/>
      <c r="I21" s="50"/>
      <c r="J21" s="50"/>
    </row>
    <row r="22" spans="1:10" ht="15">
      <c r="A22" s="50"/>
      <c r="B22" s="263"/>
      <c r="C22" s="50"/>
      <c r="D22" s="50"/>
      <c r="E22" s="50"/>
      <c r="F22" s="50"/>
      <c r="G22" s="50"/>
      <c r="H22" s="50"/>
      <c r="I22" s="50"/>
      <c r="J22" s="50"/>
    </row>
    <row r="23" spans="1:10" ht="15">
      <c r="A23" s="50"/>
      <c r="B23" s="264" t="s">
        <v>422</v>
      </c>
      <c r="C23" s="261"/>
      <c r="D23" s="50"/>
      <c r="E23" s="261"/>
      <c r="F23" s="261"/>
      <c r="G23" s="50"/>
      <c r="H23" s="50"/>
      <c r="I23" s="50"/>
      <c r="J23" s="50"/>
    </row>
    <row r="24" spans="1:10" ht="15.75" thickBot="1">
      <c r="A24" s="50"/>
      <c r="B24" s="262" t="s">
        <v>423</v>
      </c>
      <c r="C24" s="261"/>
      <c r="D24" s="50"/>
      <c r="E24" s="261"/>
      <c r="F24" s="261"/>
      <c r="G24" s="50"/>
      <c r="H24" s="50"/>
      <c r="I24" s="50"/>
      <c r="J24" s="50"/>
    </row>
    <row r="25" spans="1:10" ht="15.75" thickBot="1">
      <c r="A25" s="50"/>
      <c r="B25" s="261"/>
      <c r="C25" s="261"/>
      <c r="D25" s="278" t="s">
        <v>410</v>
      </c>
      <c r="E25" s="50"/>
      <c r="F25" s="50"/>
      <c r="G25" s="50"/>
      <c r="H25" s="50"/>
      <c r="I25" s="50"/>
      <c r="J25" s="50"/>
    </row>
    <row r="26" spans="1:10" ht="14.45" customHeight="1" thickBot="1">
      <c r="A26" s="50"/>
      <c r="B26" s="265" t="s">
        <v>424</v>
      </c>
      <c r="C26" s="261">
        <v>2165</v>
      </c>
      <c r="D26" s="299"/>
      <c r="E26" s="50"/>
      <c r="F26" s="323"/>
      <c r="G26" s="50"/>
      <c r="H26" s="50"/>
      <c r="I26" s="50"/>
      <c r="J26" s="50"/>
    </row>
    <row r="27" spans="1:10" ht="14.45" customHeight="1" thickBot="1">
      <c r="A27" s="50"/>
      <c r="B27" s="50"/>
      <c r="C27" s="261"/>
      <c r="D27" s="266"/>
      <c r="E27" s="267"/>
      <c r="F27" s="50"/>
      <c r="G27" s="50"/>
      <c r="H27" s="50"/>
      <c r="I27" s="50"/>
      <c r="J27" s="50"/>
    </row>
    <row r="28" spans="1:10" ht="15.75" thickBot="1">
      <c r="A28" s="50"/>
      <c r="B28" s="268" t="s">
        <v>425</v>
      </c>
      <c r="C28" s="269"/>
      <c r="D28" s="270"/>
      <c r="E28" s="262"/>
      <c r="F28" s="50"/>
      <c r="G28" s="50"/>
      <c r="H28" s="50"/>
      <c r="I28" s="50"/>
      <c r="J28" s="50"/>
    </row>
    <row r="29" spans="1:10" ht="18" customHeight="1">
      <c r="A29" s="50"/>
      <c r="B29" s="271" t="s">
        <v>426</v>
      </c>
      <c r="C29" s="272"/>
      <c r="D29" s="520"/>
      <c r="E29" s="262"/>
      <c r="F29" s="50"/>
      <c r="G29" s="50"/>
      <c r="H29" s="50"/>
      <c r="I29" s="50"/>
      <c r="J29" s="50"/>
    </row>
    <row r="30" spans="1:10" ht="70.5" customHeight="1">
      <c r="A30" s="50"/>
      <c r="B30" s="381" t="s">
        <v>427</v>
      </c>
      <c r="C30" s="382"/>
      <c r="D30" s="383"/>
      <c r="E30" s="50"/>
      <c r="F30" s="50"/>
      <c r="G30" s="50"/>
      <c r="H30" s="50"/>
      <c r="I30" s="50"/>
      <c r="J30" s="50"/>
    </row>
    <row r="31" spans="1:10" ht="18.75" customHeight="1">
      <c r="A31" s="50"/>
      <c r="B31" s="273" t="s">
        <v>428</v>
      </c>
      <c r="C31" s="263"/>
      <c r="D31" s="274"/>
      <c r="E31" s="50"/>
      <c r="F31" s="50"/>
      <c r="G31" s="50"/>
      <c r="H31" s="50"/>
      <c r="I31" s="50"/>
      <c r="J31" s="50"/>
    </row>
    <row r="32" spans="1:10" ht="86.25" customHeight="1" thickBot="1">
      <c r="A32" s="50"/>
      <c r="B32" s="384" t="s">
        <v>429</v>
      </c>
      <c r="C32" s="385"/>
      <c r="D32" s="330"/>
      <c r="E32" s="50"/>
      <c r="F32" s="50"/>
      <c r="G32" s="50"/>
      <c r="H32" s="50"/>
      <c r="I32" s="50"/>
      <c r="J32" s="50"/>
    </row>
    <row r="33" spans="1:10" ht="15">
      <c r="A33" s="50"/>
      <c r="B33" s="50"/>
      <c r="C33" s="263"/>
      <c r="D33" s="275"/>
      <c r="E33" s="50"/>
      <c r="F33" s="50"/>
      <c r="G33" s="50"/>
      <c r="H33" s="50"/>
      <c r="I33" s="50"/>
      <c r="J33" s="50"/>
    </row>
    <row r="34" spans="1:10">
      <c r="A34" s="50"/>
      <c r="B34" s="50"/>
      <c r="C34" s="50"/>
      <c r="D34" s="50"/>
      <c r="E34" s="50"/>
      <c r="F34" s="50"/>
      <c r="G34" s="50"/>
      <c r="H34" s="50"/>
      <c r="I34" s="50"/>
      <c r="J34" s="50"/>
    </row>
    <row r="35" spans="1:10">
      <c r="A35" s="50"/>
      <c r="B35" s="50"/>
      <c r="C35" s="50"/>
      <c r="D35" s="50"/>
      <c r="E35" s="50"/>
      <c r="F35" s="50"/>
      <c r="G35" s="50"/>
      <c r="H35" s="50"/>
      <c r="I35" s="50"/>
      <c r="J35" s="50"/>
    </row>
    <row r="36" spans="1:10">
      <c r="A36" s="50"/>
      <c r="B36" s="50"/>
      <c r="C36" s="50"/>
      <c r="D36" s="50"/>
      <c r="E36" s="50"/>
      <c r="F36" s="50"/>
      <c r="G36" s="50"/>
      <c r="H36" s="50"/>
      <c r="I36" s="50"/>
      <c r="J36" s="50"/>
    </row>
    <row r="37" spans="1:10">
      <c r="A37" s="50"/>
      <c r="B37" s="50"/>
      <c r="C37" s="50"/>
      <c r="D37" s="50"/>
      <c r="E37" s="50"/>
      <c r="F37" s="50"/>
      <c r="G37" s="50"/>
      <c r="H37" s="50"/>
      <c r="I37" s="50"/>
      <c r="J37" s="50"/>
    </row>
    <row r="38" spans="1:10">
      <c r="A38" s="50"/>
      <c r="B38" s="50"/>
      <c r="C38" s="50"/>
      <c r="D38" s="50"/>
      <c r="E38" s="50"/>
      <c r="F38" s="50"/>
      <c r="G38" s="50"/>
      <c r="H38" s="50"/>
      <c r="I38" s="50"/>
      <c r="J38" s="50"/>
    </row>
    <row r="39" spans="1:10">
      <c r="A39" s="50"/>
      <c r="B39" s="50"/>
      <c r="C39" s="50"/>
      <c r="D39" s="50"/>
      <c r="E39" s="50"/>
      <c r="F39" s="50"/>
      <c r="G39" s="50"/>
      <c r="H39" s="50"/>
      <c r="I39" s="50"/>
      <c r="J39" s="50"/>
    </row>
    <row r="40" spans="1:10">
      <c r="A40" s="50"/>
      <c r="B40" s="50"/>
      <c r="C40" s="50"/>
      <c r="D40" s="50"/>
      <c r="E40" s="50"/>
      <c r="F40" s="50"/>
      <c r="G40" s="50"/>
      <c r="H40" s="50"/>
      <c r="I40" s="50"/>
      <c r="J40" s="50"/>
    </row>
    <row r="41" spans="1:10">
      <c r="A41" s="50"/>
      <c r="B41" s="50"/>
      <c r="C41" s="50"/>
      <c r="D41" s="50"/>
      <c r="E41" s="50"/>
      <c r="F41" s="50"/>
      <c r="G41" s="50"/>
      <c r="H41" s="50"/>
      <c r="I41" s="50"/>
      <c r="J41" s="50"/>
    </row>
    <row r="42" spans="1:10">
      <c r="A42" s="50"/>
      <c r="B42" s="50"/>
      <c r="C42" s="50"/>
      <c r="D42" s="50"/>
      <c r="E42" s="50"/>
      <c r="F42" s="50"/>
      <c r="G42" s="50"/>
      <c r="H42" s="50"/>
      <c r="I42" s="50"/>
      <c r="J42" s="50"/>
    </row>
    <row r="43" spans="1:10">
      <c r="A43" s="50"/>
      <c r="B43" s="50"/>
      <c r="C43" s="50"/>
      <c r="D43" s="50"/>
      <c r="E43" s="50"/>
      <c r="F43" s="50"/>
      <c r="G43" s="50"/>
      <c r="H43" s="50"/>
      <c r="I43" s="50"/>
      <c r="J43" s="50"/>
    </row>
    <row r="44" spans="1:10" s="300" customFormat="1"/>
    <row r="45" spans="1:10" s="300" customFormat="1"/>
    <row r="46" spans="1:10" s="300" customFormat="1"/>
    <row r="47" spans="1:10" s="300" customFormat="1"/>
    <row r="48" spans="1:10">
      <c r="A48" s="50"/>
      <c r="B48" s="300"/>
      <c r="C48" s="300"/>
      <c r="D48" s="300"/>
      <c r="E48" s="300"/>
      <c r="F48" s="300"/>
      <c r="G48" s="300"/>
      <c r="H48" s="300"/>
      <c r="I48" s="300"/>
      <c r="J48" s="300"/>
    </row>
    <row r="49" spans="1:10">
      <c r="A49" s="50"/>
      <c r="B49" s="300"/>
      <c r="C49" s="300"/>
      <c r="D49" s="300"/>
      <c r="E49" s="300"/>
      <c r="F49" s="300"/>
      <c r="G49" s="300"/>
      <c r="H49" s="300"/>
      <c r="I49" s="300"/>
      <c r="J49" s="300"/>
    </row>
    <row r="50" spans="1:10">
      <c r="A50" s="50"/>
      <c r="B50" s="300"/>
      <c r="C50" s="300"/>
      <c r="D50" s="300"/>
      <c r="E50" s="300"/>
      <c r="F50" s="300"/>
      <c r="G50" s="300"/>
      <c r="H50" s="300"/>
      <c r="I50" s="300"/>
      <c r="J50" s="300"/>
    </row>
  </sheetData>
  <sheetProtection algorithmName="SHA-512" hashValue="VWYApiJYpf6izlXqgu2VRxjxs43FsiNsapZNDXPNXqvBZArDLiDDQVNn3EB/c1n5W1+Xl3PR0d2gswa462bkqQ==" saltValue="eCwEte360XGUseC7WY7aDA==" spinCount="100000" sheet="1" objects="1" scenarios="1" selectLockedCells="1"/>
  <mergeCells count="4">
    <mergeCell ref="B30:D30"/>
    <mergeCell ref="B32:C32"/>
    <mergeCell ref="H15:I15"/>
    <mergeCell ref="B18:G18"/>
  </mergeCells>
  <phoneticPr fontId="0" type="noConversion"/>
  <pageMargins left="0.59055118110236227" right="0.39370078740157483" top="0.98425196850393704" bottom="0.98425196850393704" header="0.51181102362204722" footer="0.51181102362204722"/>
  <pageSetup paperSize="9" scale="82"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6">
    <tabColor theme="0"/>
  </sheetPr>
  <dimension ref="A1:AE75"/>
  <sheetViews>
    <sheetView topLeftCell="C1" zoomScale="90" zoomScaleNormal="90" workbookViewId="0" xr3:uid="{7BE570AB-09E9-518F-B8F7-3F91B7162CA9}">
      <selection activeCell="C5" sqref="C5"/>
    </sheetView>
  </sheetViews>
  <sheetFormatPr defaultColWidth="9.140625" defaultRowHeight="12.75"/>
  <cols>
    <col min="1" max="2" width="4.42578125" style="99" hidden="1" customWidth="1"/>
    <col min="3" max="5" width="14.7109375" style="99" customWidth="1"/>
    <col min="6" max="6" width="6.140625" style="99" customWidth="1"/>
    <col min="7" max="7" width="22.7109375" style="99" customWidth="1"/>
    <col min="8" max="8" width="11.7109375" style="99" customWidth="1"/>
    <col min="9" max="9" width="5.42578125" style="99" customWidth="1"/>
    <col min="10" max="11" width="12.28515625" style="99" customWidth="1"/>
    <col min="12" max="13" width="15.7109375" style="99" customWidth="1"/>
    <col min="14" max="14" width="2.28515625" style="99" customWidth="1"/>
    <col min="15" max="15" width="10.28515625" style="99" customWidth="1"/>
    <col min="16" max="16" width="12.28515625" style="99" customWidth="1"/>
    <col min="17" max="17" width="12.85546875" style="99" customWidth="1"/>
    <col min="18" max="20" width="11" style="99" customWidth="1"/>
    <col min="21" max="21" width="3" style="99" customWidth="1"/>
    <col min="22" max="27" width="11" style="99" customWidth="1"/>
    <col min="28" max="28" width="11" style="100" customWidth="1"/>
    <col min="29" max="29" width="6.85546875" style="100" hidden="1" customWidth="1"/>
    <col min="30" max="36" width="0" style="99" hidden="1" customWidth="1"/>
    <col min="37" max="16384" width="9.140625" style="99"/>
  </cols>
  <sheetData>
    <row r="1" spans="3:29" s="101" customFormat="1" ht="30" customHeight="1">
      <c r="C1" s="103" t="s">
        <v>430</v>
      </c>
      <c r="D1" s="103"/>
      <c r="E1" s="103"/>
      <c r="F1" s="103"/>
      <c r="G1" s="103"/>
      <c r="H1" s="103"/>
      <c r="I1" s="103"/>
      <c r="J1" s="103"/>
      <c r="K1" s="103"/>
      <c r="L1" s="103"/>
      <c r="M1" s="103"/>
      <c r="N1" s="103"/>
      <c r="O1" s="103"/>
      <c r="P1" s="103"/>
      <c r="Q1" s="103"/>
      <c r="R1" s="103"/>
      <c r="S1" s="103"/>
      <c r="T1" s="103"/>
      <c r="AB1" s="105"/>
      <c r="AC1" s="105"/>
    </row>
    <row r="2" spans="3:29" s="101" customFormat="1" ht="15" customHeight="1">
      <c r="C2" s="104" t="s">
        <v>431</v>
      </c>
      <c r="L2" s="431"/>
      <c r="M2" s="431"/>
      <c r="AB2" s="105"/>
      <c r="AC2" s="105"/>
    </row>
    <row r="3" spans="3:29" s="101" customFormat="1">
      <c r="C3" s="222" t="str">
        <f>IF(Sammandrag!X43="","",Sammandrag!X43)</f>
        <v/>
      </c>
      <c r="N3" s="432" t="s">
        <v>432</v>
      </c>
      <c r="O3" s="432"/>
      <c r="P3" s="432"/>
      <c r="Q3" s="432"/>
      <c r="R3" s="432"/>
      <c r="S3" s="432"/>
      <c r="T3" s="432"/>
      <c r="AB3" s="105"/>
      <c r="AC3" s="105"/>
    </row>
    <row r="4" spans="3:29" s="101" customFormat="1">
      <c r="C4" s="104" t="s">
        <v>433</v>
      </c>
      <c r="D4" s="408" t="s">
        <v>434</v>
      </c>
      <c r="E4" s="409"/>
      <c r="G4" s="408" t="s">
        <v>435</v>
      </c>
      <c r="H4" s="409"/>
      <c r="I4" s="408" t="s">
        <v>436</v>
      </c>
      <c r="J4" s="409"/>
      <c r="L4" s="106" t="s">
        <v>437</v>
      </c>
      <c r="AB4" s="105"/>
      <c r="AC4" s="105"/>
    </row>
    <row r="5" spans="3:29" s="101" customFormat="1">
      <c r="C5" s="206">
        <v>113491</v>
      </c>
      <c r="D5" s="433" t="s">
        <v>245</v>
      </c>
      <c r="E5" s="434"/>
      <c r="G5" s="392" t="str">
        <f>IF(Q24&gt;0,VLOOKUP(Q24,Indata!K4:O41,5,0),"")</f>
        <v/>
      </c>
      <c r="H5" s="389"/>
      <c r="I5" s="414"/>
      <c r="J5" s="416"/>
      <c r="L5" s="96" t="s">
        <v>438</v>
      </c>
      <c r="N5" s="410" t="s">
        <v>439</v>
      </c>
      <c r="O5" s="410"/>
      <c r="P5" s="410"/>
      <c r="Q5" s="410"/>
      <c r="R5" s="410"/>
      <c r="S5" s="410"/>
      <c r="T5" s="410"/>
      <c r="AB5" s="105"/>
      <c r="AC5" s="105"/>
    </row>
    <row r="6" spans="3:29" s="101" customFormat="1">
      <c r="G6" s="408" t="s">
        <v>440</v>
      </c>
      <c r="H6" s="409"/>
      <c r="N6" s="410" t="s">
        <v>441</v>
      </c>
      <c r="O6" s="410"/>
      <c r="P6" s="410"/>
      <c r="Q6" s="410"/>
      <c r="R6" s="410"/>
      <c r="S6" s="410"/>
      <c r="T6" s="410"/>
      <c r="AB6" s="105"/>
      <c r="AC6" s="105"/>
    </row>
    <row r="7" spans="3:29" s="101" customFormat="1">
      <c r="G7" s="411" t="str">
        <f>IF(Sammandrag!E12="","",Sammandrag!E12)</f>
        <v/>
      </c>
      <c r="H7" s="412"/>
      <c r="N7" s="410" t="s">
        <v>442</v>
      </c>
      <c r="O7" s="410"/>
      <c r="P7" s="410"/>
      <c r="Q7" s="410"/>
      <c r="R7" s="410"/>
      <c r="S7" s="410"/>
      <c r="T7" s="410"/>
      <c r="AB7" s="105"/>
      <c r="AC7" s="105"/>
    </row>
    <row r="8" spans="3:29" s="101" customFormat="1" ht="12.75" customHeight="1">
      <c r="AB8" s="105"/>
      <c r="AC8" s="105"/>
    </row>
    <row r="9" spans="3:29" s="101" customFormat="1" ht="12.75" customHeight="1">
      <c r="C9" s="107" t="s">
        <v>443</v>
      </c>
      <c r="D9" s="107"/>
      <c r="E9" s="103"/>
      <c r="F9" s="103"/>
      <c r="G9" s="103"/>
      <c r="H9" s="103"/>
      <c r="I9" s="103"/>
      <c r="J9" s="103"/>
      <c r="K9" s="103"/>
      <c r="L9" s="103"/>
      <c r="M9" s="103"/>
      <c r="N9" s="103"/>
      <c r="O9" s="103"/>
      <c r="P9" s="103"/>
      <c r="Q9" s="103"/>
      <c r="R9" s="103"/>
      <c r="S9" s="103"/>
      <c r="T9" s="103"/>
      <c r="AB9" s="105"/>
      <c r="AC9" s="105"/>
    </row>
    <row r="10" spans="3:29" s="101" customFormat="1">
      <c r="C10" s="104" t="s">
        <v>444</v>
      </c>
      <c r="D10" s="408" t="s">
        <v>335</v>
      </c>
      <c r="E10" s="409"/>
      <c r="G10" s="408" t="s">
        <v>445</v>
      </c>
      <c r="H10" s="409"/>
      <c r="J10" s="408" t="s">
        <v>446</v>
      </c>
      <c r="K10" s="413"/>
      <c r="L10" s="409"/>
      <c r="AB10" s="105"/>
      <c r="AC10" s="105"/>
    </row>
    <row r="11" spans="3:29" s="101" customFormat="1" ht="12.75" customHeight="1">
      <c r="C11" s="306"/>
      <c r="D11" s="411" t="str">
        <f>IF(Sammandrag!E4&gt;0,Sammandrag!E4,"")</f>
        <v/>
      </c>
      <c r="E11" s="412"/>
      <c r="G11" s="411" t="str">
        <f>IF(Sammandrag!E3="","",Sammandrag!E3)</f>
        <v/>
      </c>
      <c r="H11" s="419"/>
      <c r="J11" s="414"/>
      <c r="K11" s="415"/>
      <c r="L11" s="416"/>
      <c r="AB11" s="105"/>
      <c r="AC11" s="105"/>
    </row>
    <row r="12" spans="3:29" s="101" customFormat="1" ht="12.75" customHeight="1">
      <c r="G12" s="521"/>
      <c r="H12" s="522"/>
      <c r="AB12" s="105"/>
      <c r="AC12" s="105"/>
    </row>
    <row r="13" spans="3:29" s="101" customFormat="1" ht="21.75">
      <c r="C13" s="408" t="s">
        <v>447</v>
      </c>
      <c r="D13" s="413"/>
      <c r="E13" s="409"/>
      <c r="G13" s="408" t="s">
        <v>448</v>
      </c>
      <c r="H13" s="409"/>
      <c r="J13" s="108" t="s">
        <v>449</v>
      </c>
      <c r="L13" s="108" t="s">
        <v>450</v>
      </c>
      <c r="P13" s="108" t="s">
        <v>451</v>
      </c>
      <c r="Q13" s="108" t="s">
        <v>452</v>
      </c>
      <c r="AB13" s="105"/>
      <c r="AC13" s="105"/>
    </row>
    <row r="14" spans="3:29" s="101" customFormat="1">
      <c r="C14" s="428" t="str">
        <f>IF(Sammandrag!E5&gt;0,Sammandrag!E5,"")</f>
        <v/>
      </c>
      <c r="D14" s="404"/>
      <c r="E14" s="419"/>
      <c r="G14" s="422" t="str">
        <f>IF(Sammandrag!X4&gt;0,Sammandrag!X4,"")</f>
        <v/>
      </c>
      <c r="H14" s="423"/>
      <c r="J14" s="94" t="s">
        <v>453</v>
      </c>
      <c r="L14" s="94" t="s">
        <v>251</v>
      </c>
      <c r="P14" s="118">
        <f>L66</f>
        <v>300</v>
      </c>
      <c r="Q14" s="118">
        <f>M66</f>
        <v>300</v>
      </c>
      <c r="AB14" s="105"/>
      <c r="AC14" s="105"/>
    </row>
    <row r="15" spans="3:29" s="101" customFormat="1">
      <c r="C15" s="429" t="str">
        <f>IF(Sammandrag!E6&gt;0,Sammandrag!E6,"")</f>
        <v/>
      </c>
      <c r="D15" s="429"/>
      <c r="E15" s="430"/>
      <c r="AB15" s="105"/>
      <c r="AC15" s="105"/>
    </row>
    <row r="16" spans="3:29" s="101" customFormat="1">
      <c r="C16" s="104" t="s">
        <v>454</v>
      </c>
      <c r="D16" s="408" t="s">
        <v>455</v>
      </c>
      <c r="E16" s="409"/>
      <c r="G16" s="104" t="s">
        <v>456</v>
      </c>
      <c r="J16" s="110" t="s">
        <v>457</v>
      </c>
      <c r="AB16" s="105"/>
      <c r="AC16" s="105"/>
    </row>
    <row r="17" spans="3:31" s="101" customFormat="1">
      <c r="C17" s="122" t="str">
        <f>IF(Sammandrag!E7="","",Sammandrag!E7)</f>
        <v/>
      </c>
      <c r="D17" s="411" t="str">
        <f>IF(Sammandrag!N7="","",Sammandrag!N7)</f>
        <v/>
      </c>
      <c r="E17" s="412"/>
      <c r="G17" s="95"/>
      <c r="J17" s="207"/>
      <c r="K17" s="439"/>
      <c r="L17" s="439"/>
      <c r="M17" s="439"/>
      <c r="N17" s="439"/>
      <c r="O17" s="439"/>
      <c r="AB17" s="105"/>
      <c r="AC17" s="105"/>
    </row>
    <row r="18" spans="3:31" s="101" customFormat="1">
      <c r="C18" s="408" t="s">
        <v>458</v>
      </c>
      <c r="D18" s="413"/>
      <c r="E18" s="409"/>
      <c r="G18" s="104" t="s">
        <v>459</v>
      </c>
      <c r="K18" s="439"/>
      <c r="L18" s="439"/>
      <c r="M18" s="439"/>
      <c r="N18" s="439"/>
      <c r="O18" s="439"/>
      <c r="AB18" s="105"/>
      <c r="AC18" s="105"/>
    </row>
    <row r="19" spans="3:31" s="101" customFormat="1">
      <c r="C19" s="414"/>
      <c r="D19" s="415"/>
      <c r="E19" s="416"/>
      <c r="G19" s="95"/>
      <c r="H19" s="417" t="str">
        <f>IF(AND(L5="Självfaktura",G19=""),"VAT nummer är obligatoriskt!","")</f>
        <v/>
      </c>
      <c r="I19" s="417"/>
      <c r="J19" s="417"/>
      <c r="P19" s="418"/>
      <c r="Q19" s="418"/>
      <c r="R19" s="418"/>
      <c r="S19" s="418"/>
      <c r="T19" s="418"/>
      <c r="AB19" s="105"/>
      <c r="AC19" s="105"/>
    </row>
    <row r="20" spans="3:31" s="101" customFormat="1" ht="15" customHeight="1">
      <c r="V20" s="435" t="str">
        <f>IF(O21&lt;&gt;"","Notera att rödmarkering innebär obligatoriskt värde","")</f>
        <v>Notera att rödmarkering innebär obligatoriskt värde</v>
      </c>
      <c r="W20" s="435"/>
      <c r="X20" s="435"/>
      <c r="Y20" s="435"/>
      <c r="Z20" s="435"/>
      <c r="AA20" s="435"/>
      <c r="AB20" s="105">
        <v>500</v>
      </c>
      <c r="AC20" s="105"/>
    </row>
    <row r="21" spans="3:31" s="101" customFormat="1" ht="15" customHeight="1">
      <c r="C21" s="107" t="s">
        <v>460</v>
      </c>
      <c r="D21" s="107"/>
      <c r="E21" s="103"/>
      <c r="F21" s="103"/>
      <c r="G21" s="103"/>
      <c r="H21" s="103"/>
      <c r="I21" s="103"/>
      <c r="J21" s="103"/>
      <c r="K21" s="103"/>
      <c r="L21" s="103"/>
      <c r="M21" s="103"/>
      <c r="N21" s="103"/>
      <c r="O21" s="436" t="str">
        <f>IF(SUM(AB:AB)&gt;0,"Det saknas obligatoriska värden, se kolumn V:Z","")</f>
        <v>Det saknas obligatoriska värden, se kolumn V:Z</v>
      </c>
      <c r="P21" s="436"/>
      <c r="Q21" s="436"/>
      <c r="R21" s="436"/>
      <c r="S21" s="436"/>
      <c r="T21" s="436"/>
      <c r="V21" s="437" t="s">
        <v>461</v>
      </c>
      <c r="W21" s="437"/>
      <c r="X21" s="437"/>
      <c r="Y21" s="437"/>
      <c r="Z21" s="437"/>
      <c r="AA21" s="438"/>
      <c r="AB21" s="105"/>
      <c r="AC21" s="105"/>
      <c r="AD21" s="152" t="s">
        <v>462</v>
      </c>
    </row>
    <row r="22" spans="3:31" s="101" customFormat="1" ht="25.5" customHeight="1">
      <c r="C22" s="408" t="s">
        <v>463</v>
      </c>
      <c r="D22" s="409"/>
      <c r="E22" s="425" t="s">
        <v>464</v>
      </c>
      <c r="F22" s="426"/>
      <c r="G22" s="426"/>
      <c r="H22" s="427"/>
      <c r="I22" s="108" t="s">
        <v>465</v>
      </c>
      <c r="J22" s="106" t="s">
        <v>410</v>
      </c>
      <c r="K22" s="108" t="s">
        <v>466</v>
      </c>
      <c r="L22" s="108" t="s">
        <v>451</v>
      </c>
      <c r="M22" s="108" t="s">
        <v>452</v>
      </c>
      <c r="O22" s="111" t="s">
        <v>467</v>
      </c>
      <c r="P22" s="111" t="s">
        <v>74</v>
      </c>
      <c r="Q22" s="111" t="s">
        <v>75</v>
      </c>
      <c r="R22" s="111" t="s">
        <v>76</v>
      </c>
      <c r="S22" s="111" t="s">
        <v>77</v>
      </c>
      <c r="T22" s="111" t="s">
        <v>78</v>
      </c>
      <c r="V22" s="111" t="s">
        <v>467</v>
      </c>
      <c r="W22" s="111" t="s">
        <v>74</v>
      </c>
      <c r="X22" s="111" t="s">
        <v>75</v>
      </c>
      <c r="Y22" s="111" t="s">
        <v>76</v>
      </c>
      <c r="Z22" s="111" t="s">
        <v>77</v>
      </c>
      <c r="AA22" s="111" t="s">
        <v>78</v>
      </c>
      <c r="AB22" s="105"/>
      <c r="AC22" s="105"/>
      <c r="AD22" s="150" t="s">
        <v>468</v>
      </c>
      <c r="AE22" s="150" t="s">
        <v>463</v>
      </c>
    </row>
    <row r="23" spans="3:31" s="101" customFormat="1">
      <c r="C23" s="403"/>
      <c r="D23" s="404"/>
      <c r="E23" s="393"/>
      <c r="F23" s="394"/>
      <c r="G23" s="394"/>
      <c r="H23" s="394"/>
      <c r="I23" s="96" t="str">
        <f>IFERROR(INDEX('Moms- och bokf grupp'!Q:Q,
MATCH(INDEX(Produkter!E:E,
MATCH(VALUE(LEFT(C23,FIND(" ",C23,1)-1)),Produkter!C:C,0)),'Moms- och bokf grupp'!B:B,0)),"")</f>
        <v/>
      </c>
      <c r="J23" s="96"/>
      <c r="K23" s="96"/>
      <c r="L23" s="97"/>
      <c r="M23" s="96" t="str">
        <f>IF(C23="T Text","",IFERROR(IF(J23="","",L23+(L23*(
INDEX(Moms!C:C,MATCH(I23,Moms!A:A,0))/100))),"Produktnr saknas"))</f>
        <v/>
      </c>
      <c r="O23" s="96" t="str">
        <f>IFERROR(IF(LEFT($C23,1)="T","",
IF(V23="",
INDEX('Moms- och bokf grupp'!D:D,
MATCH(LEFT(INDEX(Produkter!E:E,
MATCH(AE23,Produkter!C:C,0)),4),('Moms- och bokf grupp'!A:A),0)),V23)),"")</f>
        <v/>
      </c>
      <c r="P23" s="96" t="str">
        <f>IFERROR(IF(LEFT($C23,1)="T","",
IF(W23="",
IF(INDEX(Produkter!F:F,MATCH($AE23,Produkter!$C:$C,0))=0,"",
INDEX(Produkter!F:F,MATCH($AE23,Produkter!$C:$C,0))),W23)),"")</f>
        <v/>
      </c>
      <c r="Q23" s="96" t="str">
        <f>IFERROR(IF(LEFT($C23,1)="T","",
IF(X23="",
IF(INDEX(Produkter!G:G,MATCH($AE23,Produkter!$C:$C,0))=0,"",
INDEX(Produkter!G:G,MATCH($AE23,Produkter!$C:$C,0))),X23)),"")</f>
        <v/>
      </c>
      <c r="R23" s="96" t="str">
        <f>IFERROR(IF(LEFT($C23,1)="T","",
IF(Y23="",
IF(INDEX(Produkter!H:H,MATCH($AE23,Produkter!$C:$C,0))=0,"",
INDEX(Produkter!H:H,MATCH($AE23,Produkter!$C:$C,0))),Y23)),"")</f>
        <v/>
      </c>
      <c r="S23" s="96" t="str">
        <f>IFERROR(IF(LEFT($C23,1)="T","",
IF(Z23="",
IF(INDEX(Produkter!I:I,MATCH($AE23,Produkter!$C:$C,0))=0,"",
INDEX(Produkter!I:I,MATCH($AE23,Produkter!$C:$C,0))),Z23)),"")</f>
        <v/>
      </c>
      <c r="T23" s="96" t="str">
        <f>IFERROR(IF(LEFT($C23,1)="T","",
IF(AA23="",
IF(INDEX(Produkter!J:J,MATCH($AE23,Produkter!$C:$C,0))=0,"",
INDEX(Produkter!J:J,MATCH($AE23,Produkter!$C:$C,0))),AA23)),"")</f>
        <v/>
      </c>
      <c r="V23" s="98"/>
      <c r="W23" s="98"/>
      <c r="X23" s="98"/>
      <c r="Y23" s="98"/>
      <c r="Z23" s="96"/>
      <c r="AA23" s="96"/>
      <c r="AB23" s="170" t="str">
        <f>IFERROR(IF(AND(INDEX('Moms- och bokf grupp'!S:S, MATCH(INDEX(Produkter!E:E, MATCH(VALUE(LEFT(C23,FIND(" ",C23,1)-1)),Produkter!C:C,0)),'Moms- och bokf grupp'!B:B,0))="x",P23=""),1,
IF(AND(INDEX('Moms- och bokf grupp'!T:T, MATCH(INDEX(Produkter!E:E, MATCH(VALUE(LEFT(C23,FIND(" ",C23,1)-1)),Produkter!C:C,0)),'Moms- och bokf grupp'!B:B,0))="x",Q23=""),1,
IF(AND(INDEX('Moms- och bokf grupp'!U:U, MATCH(INDEX(Produkter!E:E, MATCH(VALUE(LEFT(C23,FIND(" ",C23,1)-1)),Produkter!C:C,0)),'Moms- och bokf grupp'!B:B,0))="x",R23=""),1,
IF(AND(INDEX('Moms- och bokf grupp'!V:V, MATCH(INDEX(Produkter!E:E, MATCH(VALUE(LEFT(C23,FIND(" ",C23,1)-1)),Produkter!C:C,0)),'Moms- och bokf grupp'!B:B,0))="x",S23=""),1,
IF(AND(INDEX('Moms- och bokf grupp'!W:W, MATCH(INDEX(Produkter!E:E, MATCH(VALUE(LEFT(C23,FIND(" ",C23,1)-1)),Produkter!C:C,0)),'Moms- och bokf grupp'!B:B,0))="x",T23=""),1,
""))))),"")</f>
        <v/>
      </c>
      <c r="AD23" s="151" t="str">
        <f>IF(OR(L23=0,L23=""),"",MAX($AD$22:AD22)+1)</f>
        <v/>
      </c>
      <c r="AE23" s="149" t="str">
        <f>IFERROR(IFERROR(VALUE(LEFT(C23,FIND(" ",C23)-1)),""),"")</f>
        <v/>
      </c>
    </row>
    <row r="24" spans="3:31" s="101" customFormat="1">
      <c r="C24" s="403" t="s">
        <v>469</v>
      </c>
      <c r="D24" s="404"/>
      <c r="E24" s="395" t="s">
        <v>470</v>
      </c>
      <c r="F24" s="396"/>
      <c r="G24" s="396"/>
      <c r="H24" s="523"/>
      <c r="I24" s="96">
        <f>IFERROR(INDEX('Moms- och bokf grupp'!Q:Q,
MATCH(INDEX(Produkter!E:E,
MATCH(VALUE(LEFT(C24,FIND(" ",C24,1)-1)),Produkter!C:C,0)),'Moms- och bokf grupp'!B:B,0)),"")</f>
        <v>80</v>
      </c>
      <c r="J24" s="96"/>
      <c r="K24" s="96"/>
      <c r="L24" s="119">
        <f>IF(Sammandrag!AB36*Sammandrag!E9&lt;301,0,(Skog!$B$10+Skog!B16)*1.25*Sammandrag!E9)</f>
        <v>0</v>
      </c>
      <c r="M24" s="254">
        <f>L24</f>
        <v>0</v>
      </c>
      <c r="O24" s="96">
        <v>1281</v>
      </c>
      <c r="P24" s="96" t="str">
        <f>IFERROR(IF(LEFT($C24,1)="T","",
IF(W24="",
IF(INDEX(Produkter!F:F,MATCH($AE24,Produkter!$C:$C,0))=0,"",
INDEX(Produkter!F:F,MATCH($AE24,Produkter!$C:$C,0))),W24)),"")</f>
        <v/>
      </c>
      <c r="Q24" s="96">
        <f>IFERROR(IF(LEFT($C24,1)="T","",
IF(X24="",
IF(INDEX(Produkter!G:G,MATCH($AE24,Produkter!$C:$C,0))=0,"",
INDEX(Produkter!G:G,MATCH($AE24,Produkter!$C:$C,0))),X24)),"")</f>
        <v>0</v>
      </c>
      <c r="R24" s="96">
        <v>128201</v>
      </c>
      <c r="S24" s="96">
        <v>308</v>
      </c>
      <c r="T24" s="96">
        <f>IFERROR(IF(LEFT($C24,1)="T","",
IF(AA24="",
IF(INDEX(Produkter!J:J,MATCH($AE24,Produkter!$C:$C,0))=0,"",
INDEX(Produkter!J:J,MATCH($AE24,Produkter!$C:$C,0))),AA24)),"")</f>
        <v>0</v>
      </c>
      <c r="V24" s="98">
        <v>1281</v>
      </c>
      <c r="W24" s="96" t="str">
        <f>IF(Q24&gt;0,VLOOKUP(Q24,Indata!K4:N41,3,0),"")</f>
        <v/>
      </c>
      <c r="X24" s="96">
        <f>Sammandrag!$J$13</f>
        <v>0</v>
      </c>
      <c r="Y24" s="96">
        <v>128201</v>
      </c>
      <c r="Z24" s="96">
        <v>308</v>
      </c>
      <c r="AA24" s="96">
        <f>Sammandrag!$E$12</f>
        <v>0</v>
      </c>
      <c r="AB24" s="170">
        <f>IFERROR(IF(AND(INDEX('Moms- och bokf grupp'!S:S, MATCH(INDEX(Produkter!E:E, MATCH(VALUE(LEFT(C24,FIND(" ",C24,1)-1)),Produkter!C:C,0)),'Moms- och bokf grupp'!B:B,0))="x",P24=""),1,
IF(AND(INDEX('Moms- och bokf grupp'!T:T, MATCH(INDEX(Produkter!E:E, MATCH(VALUE(LEFT(C24,FIND(" ",C24,1)-1)),Produkter!C:C,0)),'Moms- och bokf grupp'!B:B,0))="x",Q24=""),1,
IF(AND(INDEX('Moms- och bokf grupp'!U:U, MATCH(INDEX(Produkter!E:E, MATCH(VALUE(LEFT(C24,FIND(" ",C24,1)-1)),Produkter!C:C,0)),'Moms- och bokf grupp'!B:B,0))="x",R24=""),1,
IF(AND(INDEX('Moms- och bokf grupp'!V:V, MATCH(INDEX(Produkter!E:E, MATCH(VALUE(LEFT(C24,FIND(" ",C24,1)-1)),Produkter!C:C,0)),'Moms- och bokf grupp'!B:B,0))="x",S24=""),1,
IF(AND(INDEX('Moms- och bokf grupp'!W:W, MATCH(INDEX(Produkter!E:E, MATCH(VALUE(LEFT(C24,FIND(" ",C24,1)-1)),Produkter!C:C,0)),'Moms- och bokf grupp'!B:B,0))="x",T24=""),1,
""))))),"")</f>
        <v>1</v>
      </c>
      <c r="AD24" s="151" t="str">
        <f>IF(OR(L24=0,L24=""),"",MAX($AD$22:AD23)+1)</f>
        <v/>
      </c>
      <c r="AE24" s="149">
        <f t="shared" ref="AE24:AE65" si="0">IFERROR(IFERROR(VALUE(LEFT(C24,FIND(" ",C24)-1)),""),"")</f>
        <v>53</v>
      </c>
    </row>
    <row r="25" spans="3:31" s="101" customFormat="1">
      <c r="C25" s="424" t="s">
        <v>471</v>
      </c>
      <c r="D25" s="419"/>
      <c r="E25" s="102" t="s">
        <v>323</v>
      </c>
      <c r="F25" s="102"/>
      <c r="G25" s="102"/>
      <c r="H25" s="102"/>
      <c r="I25" s="96">
        <f>IFERROR(INDEX('Moms- och bokf grupp'!Q:Q,
MATCH(INDEX(Produkter!E:E,
MATCH(VALUE(LEFT(C25,FIND(" ",C25,1)-1)),Produkter!C:C,0)),'Moms- och bokf grupp'!B:B,0)),"")</f>
        <v>80</v>
      </c>
      <c r="J25" s="96"/>
      <c r="K25" s="96"/>
      <c r="L25" s="119">
        <f>IF(Sammandrag!AB36*Sammandrag!E9&lt;301,0,Skog!B12*1.25*Sammandrag!E9)</f>
        <v>0</v>
      </c>
      <c r="M25" s="254">
        <f t="shared" ref="M25:M30" si="1">L25</f>
        <v>0</v>
      </c>
      <c r="O25" s="96">
        <v>1282</v>
      </c>
      <c r="P25" s="96" t="str">
        <f>IFERROR(IF(LEFT($C25,1)="T","",
IF(W25="",
IF(INDEX(Produkter!F:F,MATCH($AE25,Produkter!$C:$C,0))=0,"",
INDEX(Produkter!F:F,MATCH($AE25,Produkter!$C:$C,0))),W25)),"")</f>
        <v/>
      </c>
      <c r="Q25" s="96">
        <f>IFERROR(IF(LEFT($C25,1)="T","",
IF(X25="",
IF(INDEX(Produkter!G:G,MATCH($AE25,Produkter!$C:$C,0))=0,"",
INDEX(Produkter!G:G,MATCH($AE25,Produkter!$C:$C,0))),X25)),"")</f>
        <v>0</v>
      </c>
      <c r="R25" s="96">
        <v>128201</v>
      </c>
      <c r="S25" s="96">
        <v>309</v>
      </c>
      <c r="T25" s="96">
        <f>IFERROR(IF(LEFT($C25,1)="T","",
IF(AA25="",
IF(INDEX(Produkter!J:J,MATCH($AE25,Produkter!$C:$C,0))=0,"",
INDEX(Produkter!J:J,MATCH($AE25,Produkter!$C:$C,0))),AA25)),"")</f>
        <v>0</v>
      </c>
      <c r="V25" s="98">
        <v>1282</v>
      </c>
      <c r="W25" s="96" t="str">
        <f>W24</f>
        <v/>
      </c>
      <c r="X25" s="96">
        <f>Sammandrag!$J$13</f>
        <v>0</v>
      </c>
      <c r="Y25" s="96">
        <v>128201</v>
      </c>
      <c r="Z25" s="96">
        <v>309</v>
      </c>
      <c r="AA25" s="96">
        <f>Sammandrag!$E$12</f>
        <v>0</v>
      </c>
      <c r="AB25" s="170">
        <f>IFERROR(IF(AND(INDEX('Moms- och bokf grupp'!S:S, MATCH(INDEX(Produkter!E:E, MATCH(VALUE(LEFT(C25,FIND(" ",C25,1)-1)),Produkter!C:C,0)),'Moms- och bokf grupp'!B:B,0))="x",P25=""),1,
IF(AND(INDEX('Moms- och bokf grupp'!T:T, MATCH(INDEX(Produkter!E:E, MATCH(VALUE(LEFT(C25,FIND(" ",C25,1)-1)),Produkter!C:C,0)),'Moms- och bokf grupp'!B:B,0))="x",Q25=""),1,
IF(AND(INDEX('Moms- och bokf grupp'!U:U, MATCH(INDEX(Produkter!E:E, MATCH(VALUE(LEFT(C25,FIND(" ",C25,1)-1)),Produkter!C:C,0)),'Moms- och bokf grupp'!B:B,0))="x",R25=""),1,
IF(AND(INDEX('Moms- och bokf grupp'!V:V, MATCH(INDEX(Produkter!E:E, MATCH(VALUE(LEFT(C25,FIND(" ",C25,1)-1)),Produkter!C:C,0)),'Moms- och bokf grupp'!B:B,0))="x",S25=""),1,
IF(AND(INDEX('Moms- och bokf grupp'!W:W, MATCH(INDEX(Produkter!E:E, MATCH(VALUE(LEFT(C25,FIND(" ",C25,1)-1)),Produkter!C:C,0)),'Moms- och bokf grupp'!B:B,0))="x",T25=""),1,
""))))),"")</f>
        <v>1</v>
      </c>
      <c r="AD25" s="151" t="str">
        <f>IF(OR(L25=0,L25=""),"",MAX($AD$22:AD24)+1)</f>
        <v/>
      </c>
      <c r="AE25" s="149">
        <f t="shared" si="0"/>
        <v>50</v>
      </c>
    </row>
    <row r="26" spans="3:31" s="101" customFormat="1">
      <c r="C26" s="424" t="s">
        <v>472</v>
      </c>
      <c r="D26" s="419"/>
      <c r="E26" s="524" t="s">
        <v>188</v>
      </c>
      <c r="F26" s="525"/>
      <c r="G26" s="525"/>
      <c r="H26" s="526"/>
      <c r="I26" s="96">
        <f>IFERROR(INDEX('Moms- och bokf grupp'!Q:Q,
MATCH(INDEX(Produkter!E:E,
MATCH(VALUE(LEFT(C26,FIND(" ",C26,1)-1)),Produkter!C:C,0)),'Moms- och bokf grupp'!B:B,0)),"")</f>
        <v>80</v>
      </c>
      <c r="J26" s="96"/>
      <c r="K26" s="96"/>
      <c r="L26" s="224">
        <f>IF(Sammandrag!AB36*Sammandrag!E9&lt;301,300,(Sammandrag!AB21*1.25+Sammandrag!AB26+Sammandrag!AB30)*Sammandrag!E9)</f>
        <v>300</v>
      </c>
      <c r="M26" s="254">
        <f t="shared" si="1"/>
        <v>300</v>
      </c>
      <c r="O26" s="96">
        <v>1282</v>
      </c>
      <c r="P26" s="96" t="str">
        <f>IFERROR(IF(LEFT($C26,1)="T","",
IF(W26="",
IF(INDEX(Produkter!F:F,MATCH($AE26,Produkter!$C:$C,0))=0,"",
INDEX(Produkter!F:F,MATCH($AE26,Produkter!$C:$C,0))),W26)),"")</f>
        <v/>
      </c>
      <c r="Q26" s="96">
        <f>IFERROR(IF(LEFT($C26,1)="T","",
IF(X26="",
IF(INDEX(Produkter!G:G,MATCH($AE26,Produkter!$C:$C,0))=0,"",
INDEX(Produkter!G:G,MATCH($AE26,Produkter!$C:$C,0))),X26)),"")</f>
        <v>0</v>
      </c>
      <c r="R26" s="96">
        <v>128201</v>
      </c>
      <c r="S26" s="96">
        <v>309</v>
      </c>
      <c r="T26" s="96">
        <f>IFERROR(IF(LEFT($C26,1)="T","",
IF(AA26="",
IF(INDEX(Produkter!J:J,MATCH($AE26,Produkter!$C:$C,0))=0,"",
INDEX(Produkter!J:J,MATCH($AE26,Produkter!$C:$C,0))),AA26)),"")</f>
        <v>0</v>
      </c>
      <c r="V26" s="98">
        <v>1282</v>
      </c>
      <c r="W26" s="96" t="str">
        <f>W24</f>
        <v/>
      </c>
      <c r="X26" s="96">
        <f>Sammandrag!$J$13</f>
        <v>0</v>
      </c>
      <c r="Y26" s="96">
        <v>128201</v>
      </c>
      <c r="Z26" s="96">
        <v>309</v>
      </c>
      <c r="AA26" s="96">
        <f>Sammandrag!$E$12</f>
        <v>0</v>
      </c>
      <c r="AB26" s="170">
        <f>IFERROR(IF(AND(INDEX('Moms- och bokf grupp'!S:S, MATCH(INDEX(Produkter!E:E, MATCH(VALUE(LEFT(C26,FIND(" ",C26,1)-1)),Produkter!C:C,0)),'Moms- och bokf grupp'!B:B,0))="x",P26=""),1,
IF(AND(INDEX('Moms- och bokf grupp'!T:T, MATCH(INDEX(Produkter!E:E, MATCH(VALUE(LEFT(C26,FIND(" ",C26,1)-1)),Produkter!C:C,0)),'Moms- och bokf grupp'!B:B,0))="x",Q26=""),1,
IF(AND(INDEX('Moms- och bokf grupp'!U:U, MATCH(INDEX(Produkter!E:E, MATCH(VALUE(LEFT(C26,FIND(" ",C26,1)-1)),Produkter!C:C,0)),'Moms- och bokf grupp'!B:B,0))="x",R26=""),1,
IF(AND(INDEX('Moms- och bokf grupp'!V:V, MATCH(INDEX(Produkter!E:E, MATCH(VALUE(LEFT(C26,FIND(" ",C26,1)-1)),Produkter!C:C,0)),'Moms- och bokf grupp'!B:B,0))="x",S26=""),1,
IF(AND(INDEX('Moms- och bokf grupp'!W:W, MATCH(INDEX(Produkter!E:E, MATCH(VALUE(LEFT(C26,FIND(" ",C26,1)-1)),Produkter!C:C,0)),'Moms- och bokf grupp'!B:B,0))="x",T26=""),1,
""))))),"")</f>
        <v>1</v>
      </c>
      <c r="AD26" s="151">
        <f>IF(OR(L26=0,L26=""),"",MAX($AD$22:AD25)+1)</f>
        <v>1</v>
      </c>
      <c r="AE26" s="149">
        <f t="shared" si="0"/>
        <v>62</v>
      </c>
    </row>
    <row r="27" spans="3:31" s="101" customFormat="1">
      <c r="C27" s="403" t="s">
        <v>192</v>
      </c>
      <c r="D27" s="404"/>
      <c r="E27" s="395" t="s">
        <v>473</v>
      </c>
      <c r="F27" s="396"/>
      <c r="G27" s="396"/>
      <c r="H27" s="523"/>
      <c r="I27" s="96">
        <f>IFERROR(INDEX('Moms- och bokf grupp'!Q:Q,
MATCH(INDEX(Produkter!E:E,
MATCH(VALUE(LEFT(C27,FIND(" ",C27,1)-1)),Produkter!C:C,0)),'Moms- och bokf grupp'!B:B,0)),"")</f>
        <v>80</v>
      </c>
      <c r="J27" s="96"/>
      <c r="K27" s="96"/>
      <c r="L27" s="119">
        <f>IF(Sammandrag!AB36*Sammandrag!E9&lt;301,0,Skog!B14*1.25*Sammandrag!E9)</f>
        <v>0</v>
      </c>
      <c r="M27" s="254">
        <f t="shared" si="1"/>
        <v>0</v>
      </c>
      <c r="O27" s="96">
        <v>1282</v>
      </c>
      <c r="P27" s="96" t="str">
        <f>IFERROR(IF(LEFT($C27,1)="T","",
IF(W27="",
IF(INDEX(Produkter!F:F,MATCH($AE27,Produkter!$C:$C,0))=0,"",
INDEX(Produkter!F:F,MATCH($AE27,Produkter!$C:$C,0))),W27)),"")</f>
        <v/>
      </c>
      <c r="Q27" s="96">
        <f>IFERROR(IF(LEFT($C27,1)="T","",
IF(X27="",
IF(INDEX(Produkter!G:G,MATCH($AE27,Produkter!$C:$C,0))=0,"",
INDEX(Produkter!G:G,MATCH($AE27,Produkter!$C:$C,0))),X27)),"")</f>
        <v>0</v>
      </c>
      <c r="R27" s="96">
        <v>128201</v>
      </c>
      <c r="S27" s="96">
        <v>309</v>
      </c>
      <c r="T27" s="96">
        <f>IFERROR(IF(LEFT($C27,1)="T","",
IF(AA27="",
IF(INDEX(Produkter!J:J,MATCH($AE27,Produkter!$C:$C,0))=0,"",
INDEX(Produkter!J:J,MATCH($AE27,Produkter!$C:$C,0))),AA27)),"")</f>
        <v>0</v>
      </c>
      <c r="V27" s="98">
        <v>1282</v>
      </c>
      <c r="W27" s="96" t="str">
        <f>W24</f>
        <v/>
      </c>
      <c r="X27" s="96">
        <f>Sammandrag!$J$13</f>
        <v>0</v>
      </c>
      <c r="Y27" s="96">
        <v>128201</v>
      </c>
      <c r="Z27" s="96">
        <v>309</v>
      </c>
      <c r="AA27" s="96">
        <f>Sammandrag!$E$12</f>
        <v>0</v>
      </c>
      <c r="AB27" s="170">
        <f>IFERROR(IF(AND(INDEX('Moms- och bokf grupp'!S:S, MATCH(INDEX(Produkter!E:E, MATCH(VALUE(LEFT(C27,FIND(" ",C27,1)-1)),Produkter!C:C,0)),'Moms- och bokf grupp'!B:B,0))="x",P27=""),1,
IF(AND(INDEX('Moms- och bokf grupp'!T:T, MATCH(INDEX(Produkter!E:E, MATCH(VALUE(LEFT(C27,FIND(" ",C27,1)-1)),Produkter!C:C,0)),'Moms- och bokf grupp'!B:B,0))="x",Q27=""),1,
IF(AND(INDEX('Moms- och bokf grupp'!U:U, MATCH(INDEX(Produkter!E:E, MATCH(VALUE(LEFT(C27,FIND(" ",C27,1)-1)),Produkter!C:C,0)),'Moms- och bokf grupp'!B:B,0))="x",R27=""),1,
IF(AND(INDEX('Moms- och bokf grupp'!V:V, MATCH(INDEX(Produkter!E:E, MATCH(VALUE(LEFT(C27,FIND(" ",C27,1)-1)),Produkter!C:C,0)),'Moms- och bokf grupp'!B:B,0))="x",S27=""),1,
IF(AND(INDEX('Moms- och bokf grupp'!W:W, MATCH(INDEX(Produkter!E:E, MATCH(VALUE(LEFT(C27,FIND(" ",C27,1)-1)),Produkter!C:C,0)),'Moms- och bokf grupp'!B:B,0))="x",T27=""),1,
""))))),"")</f>
        <v>1</v>
      </c>
      <c r="AD27" s="151" t="str">
        <f>IF(OR(L27=0,L27=""),"",MAX($AD$22:AD26)+1)</f>
        <v/>
      </c>
      <c r="AE27" s="149">
        <f t="shared" si="0"/>
        <v>63</v>
      </c>
    </row>
    <row r="28" spans="3:31" s="101" customFormat="1">
      <c r="C28" s="403" t="s">
        <v>474</v>
      </c>
      <c r="D28" s="404"/>
      <c r="E28" s="395" t="s">
        <v>475</v>
      </c>
      <c r="F28" s="397"/>
      <c r="G28" s="397"/>
      <c r="H28" s="397"/>
      <c r="I28" s="96">
        <f>IFERROR(INDEX('Moms- och bokf grupp'!Q:Q,
MATCH(INDEX(Produkter!E:E,
MATCH(VALUE(LEFT(C28,FIND(" ",C28,1)-1)),Produkter!C:C,0)),'Moms- och bokf grupp'!B:B,0)),"")</f>
        <v>80</v>
      </c>
      <c r="J28" s="96"/>
      <c r="K28" s="96"/>
      <c r="L28" s="119">
        <f>IF(Sammandrag!AB36*Sammandrag!E9&lt;301,0,Skog!B18*Sammandrag!E9)</f>
        <v>0</v>
      </c>
      <c r="M28" s="254">
        <f t="shared" si="1"/>
        <v>0</v>
      </c>
      <c r="O28" s="96">
        <v>1282</v>
      </c>
      <c r="P28" s="96" t="str">
        <f>IFERROR(IF(LEFT($C28,1)="T","",
IF(W28="",
IF(INDEX(Produkter!F:F,MATCH($AE28,Produkter!$C:$C,0))=0,"",
INDEX(Produkter!F:F,MATCH($AE28,Produkter!$C:$C,0))),W28)),"")</f>
        <v/>
      </c>
      <c r="Q28" s="96">
        <f>IFERROR(IF(LEFT($C28,1)="T","",
IF(X28="",
IF(INDEX(Produkter!G:G,MATCH($AE28,Produkter!$C:$C,0))=0,"",
INDEX(Produkter!G:G,MATCH($AE28,Produkter!$C:$C,0))),X28)),"")</f>
        <v>0</v>
      </c>
      <c r="R28" s="96">
        <v>128201</v>
      </c>
      <c r="S28" s="96">
        <v>309</v>
      </c>
      <c r="T28" s="96">
        <f>IFERROR(IF(LEFT($C28,1)="T","",
IF(AA28="",
IF(INDEX(Produkter!J:J,MATCH($AE28,Produkter!$C:$C,0))=0,"",
INDEX(Produkter!J:J,MATCH($AE28,Produkter!$C:$C,0))),AA28)),"")</f>
        <v>0</v>
      </c>
      <c r="V28" s="98">
        <v>1282</v>
      </c>
      <c r="W28" s="96" t="str">
        <f>W24</f>
        <v/>
      </c>
      <c r="X28" s="96">
        <f>Sammandrag!$J$13</f>
        <v>0</v>
      </c>
      <c r="Y28" s="96">
        <v>128201</v>
      </c>
      <c r="Z28" s="96">
        <v>309</v>
      </c>
      <c r="AA28" s="96">
        <f>Sammandrag!$E$12</f>
        <v>0</v>
      </c>
      <c r="AB28" s="170">
        <f>IFERROR(IF(AND(INDEX('Moms- och bokf grupp'!S:S, MATCH(INDEX(Produkter!E:E, MATCH(VALUE(LEFT(C28,FIND(" ",C28,1)-1)),Produkter!C:C,0)),'Moms- och bokf grupp'!B:B,0))="x",P28=""),1,
IF(AND(INDEX('Moms- och bokf grupp'!T:T, MATCH(INDEX(Produkter!E:E, MATCH(VALUE(LEFT(C28,FIND(" ",C28,1)-1)),Produkter!C:C,0)),'Moms- och bokf grupp'!B:B,0))="x",Q28=""),1,
IF(AND(INDEX('Moms- och bokf grupp'!U:U, MATCH(INDEX(Produkter!E:E, MATCH(VALUE(LEFT(C28,FIND(" ",C28,1)-1)),Produkter!C:C,0)),'Moms- och bokf grupp'!B:B,0))="x",R28=""),1,
IF(AND(INDEX('Moms- och bokf grupp'!V:V, MATCH(INDEX(Produkter!E:E, MATCH(VALUE(LEFT(C28,FIND(" ",C28,1)-1)),Produkter!C:C,0)),'Moms- och bokf grupp'!B:B,0))="x",S28=""),1,
IF(AND(INDEX('Moms- och bokf grupp'!W:W, MATCH(INDEX(Produkter!E:E, MATCH(VALUE(LEFT(C28,FIND(" ",C28,1)-1)),Produkter!C:C,0)),'Moms- och bokf grupp'!B:B,0))="x",T28=""),1,
""))))),"")</f>
        <v>1</v>
      </c>
      <c r="AD28" s="151" t="str">
        <f>IF(OR(L28=0,L28=""),"",MAX($AD$22:AD27)+1)</f>
        <v/>
      </c>
      <c r="AE28" s="149">
        <f t="shared" si="0"/>
        <v>51</v>
      </c>
    </row>
    <row r="29" spans="3:31" s="101" customFormat="1">
      <c r="C29" s="403" t="s">
        <v>469</v>
      </c>
      <c r="D29" s="404"/>
      <c r="E29" s="407" t="s">
        <v>476</v>
      </c>
      <c r="F29" s="523"/>
      <c r="G29" s="523"/>
      <c r="H29" s="523"/>
      <c r="I29" s="96">
        <f>IFERROR(INDEX('Moms- och bokf grupp'!Q:Q,
MATCH(INDEX(Produkter!E:E,
MATCH(VALUE(LEFT(C29,FIND(" ",C29,1)-1)),Produkter!C:C,0)),'Moms- och bokf grupp'!B:B,0)),"")</f>
        <v>80</v>
      </c>
      <c r="J29" s="96"/>
      <c r="K29" s="96"/>
      <c r="L29" s="119">
        <f>IF(Sammandrag!AB36*Sammandrag!E9&lt;301,0,(Sammandrag!AB17*0.66+Sammandrag!AB19+Sammandrag!AB20+Sammandrag!AB22+Sammandrag!AB24)*1.25*Sammandrag!E9)</f>
        <v>0</v>
      </c>
      <c r="M29" s="254">
        <f t="shared" si="1"/>
        <v>0</v>
      </c>
      <c r="O29" s="96">
        <v>1281</v>
      </c>
      <c r="P29" s="96" t="str">
        <f>IFERROR(IF(LEFT($C29,1)="T","",
IF(W29="",
IF(INDEX(Produkter!F:F,MATCH($AE29,Produkter!$C:$C,0))=0,"",
INDEX(Produkter!F:F,MATCH($AE29,Produkter!$C:$C,0))),W29)),"")</f>
        <v/>
      </c>
      <c r="Q29" s="96">
        <f>IFERROR(IF(LEFT($C29,1)="T","",
IF(X29="",
IF(INDEX(Produkter!G:G,MATCH($AE29,Produkter!$C:$C,0))=0,"",
INDEX(Produkter!G:G,MATCH($AE29,Produkter!$C:$C,0))),X29)),"")</f>
        <v>0</v>
      </c>
      <c r="R29" s="96">
        <v>128201</v>
      </c>
      <c r="S29" s="96">
        <v>308</v>
      </c>
      <c r="T29" s="96">
        <f>IFERROR(IF(LEFT($C29,1)="T","",
IF(AA29="",
IF(INDEX(Produkter!J:J,MATCH($AE29,Produkter!$C:$C,0))=0,"",
INDEX(Produkter!J:J,MATCH($AE29,Produkter!$C:$C,0))),AA29)),"")</f>
        <v>0</v>
      </c>
      <c r="V29" s="98">
        <v>1281</v>
      </c>
      <c r="W29" s="96" t="str">
        <f>W24</f>
        <v/>
      </c>
      <c r="X29" s="96">
        <f>Sammandrag!$J$13</f>
        <v>0</v>
      </c>
      <c r="Y29" s="96">
        <v>128201</v>
      </c>
      <c r="Z29" s="96">
        <v>308</v>
      </c>
      <c r="AA29" s="96">
        <f>Sammandrag!$E$12</f>
        <v>0</v>
      </c>
      <c r="AB29" s="170">
        <f>IFERROR(IF(AND(INDEX('Moms- och bokf grupp'!S:S, MATCH(INDEX(Produkter!E:E, MATCH(VALUE(LEFT(C29,FIND(" ",C29,1)-1)),Produkter!C:C,0)),'Moms- och bokf grupp'!B:B,0))="x",P29=""),1,
IF(AND(INDEX('Moms- och bokf grupp'!T:T, MATCH(INDEX(Produkter!E:E, MATCH(VALUE(LEFT(C29,FIND(" ",C29,1)-1)),Produkter!C:C,0)),'Moms- och bokf grupp'!B:B,0))="x",Q29=""),1,
IF(AND(INDEX('Moms- och bokf grupp'!U:U, MATCH(INDEX(Produkter!E:E, MATCH(VALUE(LEFT(C29,FIND(" ",C29,1)-1)),Produkter!C:C,0)),'Moms- och bokf grupp'!B:B,0))="x",R29=""),1,
IF(AND(INDEX('Moms- och bokf grupp'!V:V, MATCH(INDEX(Produkter!E:E, MATCH(VALUE(LEFT(C29,FIND(" ",C29,1)-1)),Produkter!C:C,0)),'Moms- och bokf grupp'!B:B,0))="x",S29=""),1,
IF(AND(INDEX('Moms- och bokf grupp'!W:W, MATCH(INDEX(Produkter!E:E, MATCH(VALUE(LEFT(C29,FIND(" ",C29,1)-1)),Produkter!C:C,0)),'Moms- och bokf grupp'!B:B,0))="x",T29=""),1,
""))))),"")</f>
        <v>1</v>
      </c>
      <c r="AD29" s="151" t="str">
        <f>IF(OR(L29=0,L29=""),"",MAX($AD$22:AD28)+1)</f>
        <v/>
      </c>
      <c r="AE29" s="149">
        <f t="shared" si="0"/>
        <v>53</v>
      </c>
    </row>
    <row r="30" spans="3:31" s="101" customFormat="1" ht="12.75" customHeight="1">
      <c r="C30" s="403" t="s">
        <v>472</v>
      </c>
      <c r="D30" s="404"/>
      <c r="E30" s="407" t="s">
        <v>477</v>
      </c>
      <c r="F30" s="523"/>
      <c r="G30" s="523"/>
      <c r="H30" s="523"/>
      <c r="I30" s="96">
        <f>IFERROR(INDEX('Moms- och bokf grupp'!Q:Q,
MATCH(INDEX(Produkter!E:E,
MATCH(VALUE(LEFT(C30,FIND(" ",C30,1)-1)),Produkter!C:C,0)),'Moms- och bokf grupp'!B:B,0)),"")</f>
        <v>80</v>
      </c>
      <c r="J30" s="96"/>
      <c r="K30" s="96"/>
      <c r="L30" s="119">
        <f>IF(Sammandrag!AB36*Sammandrag!E9&lt;301,0,Sammandrag!AB17*0.34*Sammandrag!E9)</f>
        <v>0</v>
      </c>
      <c r="M30" s="254">
        <f t="shared" si="1"/>
        <v>0</v>
      </c>
      <c r="O30" s="96">
        <v>1282</v>
      </c>
      <c r="P30" s="96" t="str">
        <f>IFERROR(IF(LEFT($C30,1)="T","",
IF(W30="",
IF(INDEX(Produkter!F:F,MATCH($AE30,Produkter!$C:$C,0))=0,"",
INDEX(Produkter!F:F,MATCH($AE30,Produkter!$C:$C,0))),W30)),"")</f>
        <v/>
      </c>
      <c r="Q30" s="96">
        <f>IFERROR(IF(LEFT($C30,1)="T","",
IF(X30="",
IF(INDEX(Produkter!G:G,MATCH($AE30,Produkter!$C:$C,0))=0,"",
INDEX(Produkter!G:G,MATCH($AE30,Produkter!$C:$C,0))),X30)),"")</f>
        <v>0</v>
      </c>
      <c r="R30" s="96">
        <v>128201</v>
      </c>
      <c r="S30" s="96">
        <v>309</v>
      </c>
      <c r="T30" s="96">
        <f>IFERROR(IF(LEFT($C30,1)="T","",
IF(AA30="",
IF(INDEX(Produkter!J:J,MATCH($AE30,Produkter!$C:$C,0))=0,"",
INDEX(Produkter!J:J,MATCH($AE30,Produkter!$C:$C,0))),AA30)),"")</f>
        <v>0</v>
      </c>
      <c r="V30" s="98">
        <v>1282</v>
      </c>
      <c r="W30" s="96" t="str">
        <f>W24</f>
        <v/>
      </c>
      <c r="X30" s="96">
        <f>Sammandrag!$J$13</f>
        <v>0</v>
      </c>
      <c r="Y30" s="96">
        <v>128201</v>
      </c>
      <c r="Z30" s="96">
        <v>309</v>
      </c>
      <c r="AA30" s="96">
        <f>Sammandrag!$E$12</f>
        <v>0</v>
      </c>
      <c r="AB30" s="170">
        <f>IFERROR(IF(AND(INDEX('Moms- och bokf grupp'!S:S, MATCH(INDEX(Produkter!E:E, MATCH(VALUE(LEFT(C30,FIND(" ",C30,1)-1)),Produkter!C:C,0)),'Moms- och bokf grupp'!B:B,0))="x",P30=""),1,
IF(AND(INDEX('Moms- och bokf grupp'!T:T, MATCH(INDEX(Produkter!E:E, MATCH(VALUE(LEFT(C30,FIND(" ",C30,1)-1)),Produkter!C:C,0)),'Moms- och bokf grupp'!B:B,0))="x",Q30=""),1,
IF(AND(INDEX('Moms- och bokf grupp'!U:U, MATCH(INDEX(Produkter!E:E, MATCH(VALUE(LEFT(C30,FIND(" ",C30,1)-1)),Produkter!C:C,0)),'Moms- och bokf grupp'!B:B,0))="x",R30=""),1,
IF(AND(INDEX('Moms- och bokf grupp'!V:V, MATCH(INDEX(Produkter!E:E, MATCH(VALUE(LEFT(C30,FIND(" ",C30,1)-1)),Produkter!C:C,0)),'Moms- och bokf grupp'!B:B,0))="x",S30=""),1,
IF(AND(INDEX('Moms- och bokf grupp'!W:W, MATCH(INDEX(Produkter!E:E, MATCH(VALUE(LEFT(C30,FIND(" ",C30,1)-1)),Produkter!C:C,0)),'Moms- och bokf grupp'!B:B,0))="x",T30=""),1,
""))))),"")</f>
        <v>1</v>
      </c>
      <c r="AD30" s="151" t="str">
        <f>IF(OR(L30=0,L30=""),"",MAX($AD$22:AD29)+1)</f>
        <v/>
      </c>
      <c r="AE30" s="149">
        <f t="shared" si="0"/>
        <v>62</v>
      </c>
    </row>
    <row r="31" spans="3:31" s="101" customFormat="1" ht="12.75" customHeight="1">
      <c r="C31" s="403"/>
      <c r="D31" s="404"/>
      <c r="E31" s="405"/>
      <c r="F31" s="406"/>
      <c r="G31" s="406"/>
      <c r="H31" s="406"/>
      <c r="I31" s="96" t="str">
        <f>IFERROR(INDEX('Moms- och bokf grupp'!Q:Q,
MATCH(INDEX(Produkter!E:E,
MATCH(VALUE(LEFT(C31,FIND(" ",C31,1)-1)),Produkter!C:C,0)),'Moms- och bokf grupp'!B:B,0)),"")</f>
        <v/>
      </c>
      <c r="J31" s="96"/>
      <c r="K31" s="96"/>
      <c r="L31" s="97"/>
      <c r="M31" s="96" t="str">
        <f>IF(C31="T Text","",IFERROR(IF(J31="","",L31+(L31*(
INDEX(Moms!C:C,MATCH(I31,Moms!A:A,0))/100))),"Produktnr saknas"))</f>
        <v/>
      </c>
      <c r="O31" s="96"/>
      <c r="P31" s="96"/>
      <c r="Q31" s="96"/>
      <c r="R31" s="96"/>
      <c r="S31" s="96"/>
      <c r="T31" s="96"/>
      <c r="V31" s="98"/>
      <c r="W31" s="98"/>
      <c r="X31" s="98"/>
      <c r="Y31" s="98"/>
      <c r="Z31" s="96"/>
      <c r="AA31" s="96"/>
      <c r="AB31" s="170" t="str">
        <f>IFERROR(IF(AND(INDEX('Moms- och bokf grupp'!S:S, MATCH(INDEX(Produkter!E:E, MATCH(VALUE(LEFT(C31,FIND(" ",C31,1)-1)),Produkter!C:C,0)),'Moms- och bokf grupp'!B:B,0))="x",P31=""),1,
IF(AND(INDEX('Moms- och bokf grupp'!T:T, MATCH(INDEX(Produkter!E:E, MATCH(VALUE(LEFT(C31,FIND(" ",C31,1)-1)),Produkter!C:C,0)),'Moms- och bokf grupp'!B:B,0))="x",Q31=""),1,
IF(AND(INDEX('Moms- och bokf grupp'!U:U, MATCH(INDEX(Produkter!E:E, MATCH(VALUE(LEFT(C31,FIND(" ",C31,1)-1)),Produkter!C:C,0)),'Moms- och bokf grupp'!B:B,0))="x",R31=""),1,
IF(AND(INDEX('Moms- och bokf grupp'!V:V, MATCH(INDEX(Produkter!E:E, MATCH(VALUE(LEFT(C31,FIND(" ",C31,1)-1)),Produkter!C:C,0)),'Moms- och bokf grupp'!B:B,0))="x",S31=""),1,
IF(AND(INDEX('Moms- och bokf grupp'!W:W, MATCH(INDEX(Produkter!E:E, MATCH(VALUE(LEFT(C31,FIND(" ",C31,1)-1)),Produkter!C:C,0)),'Moms- och bokf grupp'!B:B,0))="x",T31=""),1,
""))))),"")</f>
        <v/>
      </c>
      <c r="AD31" s="151" t="str">
        <f>IF(OR(L31=0,L31=""),"",MAX($AD$22:AD30)+1)</f>
        <v/>
      </c>
      <c r="AE31" s="149" t="str">
        <f t="shared" si="0"/>
        <v/>
      </c>
    </row>
    <row r="32" spans="3:31" s="101" customFormat="1">
      <c r="C32" s="403"/>
      <c r="D32" s="404"/>
      <c r="E32" s="405"/>
      <c r="F32" s="406"/>
      <c r="G32" s="406"/>
      <c r="H32" s="406"/>
      <c r="I32" s="96" t="str">
        <f>IFERROR(INDEX('Moms- och bokf grupp'!Q:Q,
MATCH(INDEX(Produkter!E:E,
MATCH(VALUE(LEFT(C32,FIND(" ",C32,1)-1)),Produkter!C:C,0)),'Moms- och bokf grupp'!B:B,0)),"")</f>
        <v/>
      </c>
      <c r="J32" s="96"/>
      <c r="K32" s="96"/>
      <c r="L32" s="97"/>
      <c r="M32" s="96" t="str">
        <f>IF(C32="T Text","",IFERROR(IF(J32="","",L32+(L32*(
INDEX(Moms!C:C,MATCH(I32,Moms!A:A,0))/100))),"Produktnr saknas"))</f>
        <v/>
      </c>
      <c r="O32" s="96"/>
      <c r="P32" s="96"/>
      <c r="Q32" s="96"/>
      <c r="R32" s="96"/>
      <c r="S32" s="96"/>
      <c r="T32" s="96"/>
      <c r="V32" s="98"/>
      <c r="W32" s="98"/>
      <c r="X32" s="98"/>
      <c r="Y32" s="98"/>
      <c r="Z32" s="96"/>
      <c r="AA32" s="96"/>
      <c r="AB32" s="170" t="str">
        <f>IFERROR(IF(AND(INDEX('Moms- och bokf grupp'!S:S, MATCH(INDEX(Produkter!E:E, MATCH(VALUE(LEFT(C32,FIND(" ",C32,1)-1)),Produkter!C:C,0)),'Moms- och bokf grupp'!B:B,0))="x",P32=""),1,
IF(AND(INDEX('Moms- och bokf grupp'!T:T, MATCH(INDEX(Produkter!E:E, MATCH(VALUE(LEFT(C32,FIND(" ",C32,1)-1)),Produkter!C:C,0)),'Moms- och bokf grupp'!B:B,0))="x",Q32=""),1,
IF(AND(INDEX('Moms- och bokf grupp'!U:U, MATCH(INDEX(Produkter!E:E, MATCH(VALUE(LEFT(C32,FIND(" ",C32,1)-1)),Produkter!C:C,0)),'Moms- och bokf grupp'!B:B,0))="x",R32=""),1,
IF(AND(INDEX('Moms- och bokf grupp'!V:V, MATCH(INDEX(Produkter!E:E, MATCH(VALUE(LEFT(C32,FIND(" ",C32,1)-1)),Produkter!C:C,0)),'Moms- och bokf grupp'!B:B,0))="x",S32=""),1,
IF(AND(INDEX('Moms- och bokf grupp'!W:W, MATCH(INDEX(Produkter!E:E, MATCH(VALUE(LEFT(C32,FIND(" ",C32,1)-1)),Produkter!C:C,0)),'Moms- och bokf grupp'!B:B,0))="x",T32=""),1,
""))))),"")</f>
        <v/>
      </c>
      <c r="AD32" s="151" t="str">
        <f>IF(OR(L32=0,L32=""),"",MAX($AD$22:AD31)+1)</f>
        <v/>
      </c>
      <c r="AE32" s="149" t="str">
        <f t="shared" si="0"/>
        <v/>
      </c>
    </row>
    <row r="33" spans="3:31" s="101" customFormat="1">
      <c r="C33" s="403"/>
      <c r="D33" s="404"/>
      <c r="E33" s="405"/>
      <c r="F33" s="406"/>
      <c r="G33" s="406"/>
      <c r="H33" s="406"/>
      <c r="I33" s="96" t="str">
        <f>IFERROR(INDEX('Moms- och bokf grupp'!Q:Q,
MATCH(INDEX(Produkter!E:E,
MATCH(VALUE(LEFT(C33,FIND(" ",C33,1)-1)),Produkter!C:C,0)),'Moms- och bokf grupp'!B:B,0)),"")</f>
        <v/>
      </c>
      <c r="J33" s="96"/>
      <c r="K33" s="96"/>
      <c r="L33" s="97"/>
      <c r="M33" s="96" t="str">
        <f>IF(C33="T Text","",IFERROR(IF(J33="","",L33+(L33*(
INDEX(Moms!C:C,MATCH(I33,Moms!A:A,0))/100))),"Produktnr saknas"))</f>
        <v/>
      </c>
      <c r="O33" s="96"/>
      <c r="P33" s="96"/>
      <c r="Q33" s="96"/>
      <c r="R33" s="96"/>
      <c r="S33" s="96"/>
      <c r="T33" s="96"/>
      <c r="V33" s="98"/>
      <c r="W33" s="98"/>
      <c r="X33" s="98"/>
      <c r="Y33" s="98"/>
      <c r="Z33" s="96"/>
      <c r="AA33" s="96"/>
      <c r="AB33" s="170" t="str">
        <f>IFERROR(IF(AND(INDEX('Moms- och bokf grupp'!S:S, MATCH(INDEX(Produkter!E:E, MATCH(VALUE(LEFT(C33,FIND(" ",C33,1)-1)),Produkter!C:C,0)),'Moms- och bokf grupp'!B:B,0))="x",P33=""),1,
IF(AND(INDEX('Moms- och bokf grupp'!T:T, MATCH(INDEX(Produkter!E:E, MATCH(VALUE(LEFT(C33,FIND(" ",C33,1)-1)),Produkter!C:C,0)),'Moms- och bokf grupp'!B:B,0))="x",Q33=""),1,
IF(AND(INDEX('Moms- och bokf grupp'!U:U, MATCH(INDEX(Produkter!E:E, MATCH(VALUE(LEFT(C33,FIND(" ",C33,1)-1)),Produkter!C:C,0)),'Moms- och bokf grupp'!B:B,0))="x",R33=""),1,
IF(AND(INDEX('Moms- och bokf grupp'!V:V, MATCH(INDEX(Produkter!E:E, MATCH(VALUE(LEFT(C33,FIND(" ",C33,1)-1)),Produkter!C:C,0)),'Moms- och bokf grupp'!B:B,0))="x",S33=""),1,
IF(AND(INDEX('Moms- och bokf grupp'!W:W, MATCH(INDEX(Produkter!E:E, MATCH(VALUE(LEFT(C33,FIND(" ",C33,1)-1)),Produkter!C:C,0)),'Moms- och bokf grupp'!B:B,0))="x",T33=""),1,
""))))),"")</f>
        <v/>
      </c>
      <c r="AD33" s="151" t="str">
        <f>IF(OR(L33=0,L33=""),"",MAX($AD$22:AD32)+1)</f>
        <v/>
      </c>
      <c r="AE33" s="149" t="str">
        <f t="shared" si="0"/>
        <v/>
      </c>
    </row>
    <row r="34" spans="3:31" s="101" customFormat="1">
      <c r="C34" s="403"/>
      <c r="D34" s="404"/>
      <c r="E34" s="405"/>
      <c r="F34" s="406"/>
      <c r="G34" s="406"/>
      <c r="H34" s="406"/>
      <c r="I34" s="96" t="str">
        <f>IFERROR(INDEX('Moms- och bokf grupp'!Q:Q,
MATCH(INDEX(Produkter!E:E,
MATCH(VALUE(LEFT(C34,FIND(" ",C34,1)-1)),Produkter!C:C,0)),'Moms- och bokf grupp'!B:B,0)),"")</f>
        <v/>
      </c>
      <c r="J34" s="96"/>
      <c r="K34" s="96"/>
      <c r="L34" s="97"/>
      <c r="M34" s="96" t="str">
        <f>IF(C34="T Text","",IFERROR(IF(J34="","",L34+(L34*(
INDEX(Moms!C:C,MATCH(I34,Moms!A:A,0))/100))),"Produktnr saknas"))</f>
        <v/>
      </c>
      <c r="O34" s="96"/>
      <c r="P34" s="96"/>
      <c r="Q34" s="96"/>
      <c r="R34" s="96"/>
      <c r="S34" s="96"/>
      <c r="T34" s="96"/>
      <c r="V34" s="98"/>
      <c r="W34" s="98"/>
      <c r="X34" s="98"/>
      <c r="Y34" s="98"/>
      <c r="Z34" s="96"/>
      <c r="AA34" s="96"/>
      <c r="AB34" s="170" t="str">
        <f>IFERROR(IF(AND(INDEX('Moms- och bokf grupp'!S:S, MATCH(INDEX(Produkter!E:E, MATCH(VALUE(LEFT(C34,FIND(" ",C34,1)-1)),Produkter!C:C,0)),'Moms- och bokf grupp'!B:B,0))="x",P34=""),1,
IF(AND(INDEX('Moms- och bokf grupp'!T:T, MATCH(INDEX(Produkter!E:E, MATCH(VALUE(LEFT(C34,FIND(" ",C34,1)-1)),Produkter!C:C,0)),'Moms- och bokf grupp'!B:B,0))="x",Q34=""),1,
IF(AND(INDEX('Moms- och bokf grupp'!U:U, MATCH(INDEX(Produkter!E:E, MATCH(VALUE(LEFT(C34,FIND(" ",C34,1)-1)),Produkter!C:C,0)),'Moms- och bokf grupp'!B:B,0))="x",R34=""),1,
IF(AND(INDEX('Moms- och bokf grupp'!V:V, MATCH(INDEX(Produkter!E:E, MATCH(VALUE(LEFT(C34,FIND(" ",C34,1)-1)),Produkter!C:C,0)),'Moms- och bokf grupp'!B:B,0))="x",S34=""),1,
IF(AND(INDEX('Moms- och bokf grupp'!W:W, MATCH(INDEX(Produkter!E:E, MATCH(VALUE(LEFT(C34,FIND(" ",C34,1)-1)),Produkter!C:C,0)),'Moms- och bokf grupp'!B:B,0))="x",T34=""),1,
""))))),"")</f>
        <v/>
      </c>
      <c r="AD34" s="151" t="str">
        <f>IF(OR(L34=0,L34=""),"",MAX($AD$22:AD33)+1)</f>
        <v/>
      </c>
      <c r="AE34" s="149" t="str">
        <f t="shared" si="0"/>
        <v/>
      </c>
    </row>
    <row r="35" spans="3:31" s="101" customFormat="1">
      <c r="C35" s="403"/>
      <c r="D35" s="404"/>
      <c r="E35" s="405"/>
      <c r="F35" s="406"/>
      <c r="G35" s="406"/>
      <c r="H35" s="406"/>
      <c r="I35" s="96" t="str">
        <f>IFERROR(INDEX('Moms- och bokf grupp'!Q:Q,
MATCH(INDEX(Produkter!E:E,
MATCH(VALUE(LEFT(C35,FIND(" ",C35,1)-1)),Produkter!C:C,0)),'Moms- och bokf grupp'!B:B,0)),"")</f>
        <v/>
      </c>
      <c r="J35" s="96"/>
      <c r="K35" s="96"/>
      <c r="L35" s="97"/>
      <c r="M35" s="96" t="str">
        <f>IF(C35="T Text","",IFERROR(IF(J35="","",L35+(L35*(
INDEX(Moms!C:C,MATCH(I35,Moms!A:A,0))/100))),"Produktnr saknas"))</f>
        <v/>
      </c>
      <c r="O35" s="96"/>
      <c r="P35" s="96"/>
      <c r="Q35" s="96"/>
      <c r="R35" s="96"/>
      <c r="S35" s="96"/>
      <c r="T35" s="96"/>
      <c r="V35" s="98"/>
      <c r="W35" s="98"/>
      <c r="X35" s="98"/>
      <c r="Y35" s="98"/>
      <c r="Z35" s="96"/>
      <c r="AA35" s="96"/>
      <c r="AB35" s="170" t="str">
        <f>IFERROR(IF(AND(INDEX('Moms- och bokf grupp'!S:S, MATCH(INDEX(Produkter!E:E, MATCH(VALUE(LEFT(C35,FIND(" ",C35,1)-1)),Produkter!C:C,0)),'Moms- och bokf grupp'!B:B,0))="x",P35=""),1,
IF(AND(INDEX('Moms- och bokf grupp'!T:T, MATCH(INDEX(Produkter!E:E, MATCH(VALUE(LEFT(C35,FIND(" ",C35,1)-1)),Produkter!C:C,0)),'Moms- och bokf grupp'!B:B,0))="x",Q35=""),1,
IF(AND(INDEX('Moms- och bokf grupp'!U:U, MATCH(INDEX(Produkter!E:E, MATCH(VALUE(LEFT(C35,FIND(" ",C35,1)-1)),Produkter!C:C,0)),'Moms- och bokf grupp'!B:B,0))="x",R35=""),1,
IF(AND(INDEX('Moms- och bokf grupp'!V:V, MATCH(INDEX(Produkter!E:E, MATCH(VALUE(LEFT(C35,FIND(" ",C35,1)-1)),Produkter!C:C,0)),'Moms- och bokf grupp'!B:B,0))="x",S35=""),1,
IF(AND(INDEX('Moms- och bokf grupp'!W:W, MATCH(INDEX(Produkter!E:E, MATCH(VALUE(LEFT(C35,FIND(" ",C35,1)-1)),Produkter!C:C,0)),'Moms- och bokf grupp'!B:B,0))="x",T35=""),1,
""))))),"")</f>
        <v/>
      </c>
      <c r="AD35" s="151" t="str">
        <f>IF(OR(L35=0,L35=""),"",MAX($AD$22:AD34)+1)</f>
        <v/>
      </c>
      <c r="AE35" s="149" t="str">
        <f t="shared" si="0"/>
        <v/>
      </c>
    </row>
    <row r="36" spans="3:31" s="101" customFormat="1">
      <c r="C36" s="403"/>
      <c r="D36" s="404"/>
      <c r="E36" s="405"/>
      <c r="F36" s="406"/>
      <c r="G36" s="406"/>
      <c r="H36" s="406"/>
      <c r="I36" s="96" t="str">
        <f>IFERROR(INDEX('Moms- och bokf grupp'!Q:Q,
MATCH(INDEX(Produkter!E:E,
MATCH(VALUE(LEFT(C36,FIND(" ",C36,1)-1)),Produkter!C:C,0)),'Moms- och bokf grupp'!B:B,0)),"")</f>
        <v/>
      </c>
      <c r="J36" s="96"/>
      <c r="K36" s="96"/>
      <c r="L36" s="97"/>
      <c r="M36" s="96" t="str">
        <f>IF(C36="T Text","",IFERROR(IF(J36="","",L36+(L36*(
INDEX(Moms!C:C,MATCH(I36,Moms!A:A,0))/100))),"Produktnr saknas"))</f>
        <v/>
      </c>
      <c r="O36" s="96"/>
      <c r="P36" s="96"/>
      <c r="Q36" s="96"/>
      <c r="R36" s="96"/>
      <c r="S36" s="96"/>
      <c r="T36" s="96"/>
      <c r="V36" s="98"/>
      <c r="W36" s="98"/>
      <c r="X36" s="98"/>
      <c r="Y36" s="98"/>
      <c r="Z36" s="96"/>
      <c r="AA36" s="96"/>
      <c r="AB36" s="170" t="str">
        <f>IFERROR(IF(AND(INDEX('Moms- och bokf grupp'!S:S, MATCH(INDEX(Produkter!E:E, MATCH(VALUE(LEFT(C36,FIND(" ",C36,1)-1)),Produkter!C:C,0)),'Moms- och bokf grupp'!B:B,0))="x",P36=""),1,
IF(AND(INDEX('Moms- och bokf grupp'!T:T, MATCH(INDEX(Produkter!E:E, MATCH(VALUE(LEFT(C36,FIND(" ",C36,1)-1)),Produkter!C:C,0)),'Moms- och bokf grupp'!B:B,0))="x",Q36=""),1,
IF(AND(INDEX('Moms- och bokf grupp'!U:U, MATCH(INDEX(Produkter!E:E, MATCH(VALUE(LEFT(C36,FIND(" ",C36,1)-1)),Produkter!C:C,0)),'Moms- och bokf grupp'!B:B,0))="x",R36=""),1,
IF(AND(INDEX('Moms- och bokf grupp'!V:V, MATCH(INDEX(Produkter!E:E, MATCH(VALUE(LEFT(C36,FIND(" ",C36,1)-1)),Produkter!C:C,0)),'Moms- och bokf grupp'!B:B,0))="x",S36=""),1,
IF(AND(INDEX('Moms- och bokf grupp'!W:W, MATCH(INDEX(Produkter!E:E, MATCH(VALUE(LEFT(C36,FIND(" ",C36,1)-1)),Produkter!C:C,0)),'Moms- och bokf grupp'!B:B,0))="x",T36=""),1,
""))))),"")</f>
        <v/>
      </c>
      <c r="AD36" s="151" t="str">
        <f>IF(OR(L36=0,L36=""),"",MAX($AD$22:AD35)+1)</f>
        <v/>
      </c>
      <c r="AE36" s="149" t="str">
        <f t="shared" si="0"/>
        <v/>
      </c>
    </row>
    <row r="37" spans="3:31" s="101" customFormat="1">
      <c r="C37" s="403"/>
      <c r="D37" s="404"/>
      <c r="E37" s="405"/>
      <c r="F37" s="406"/>
      <c r="G37" s="406"/>
      <c r="H37" s="406"/>
      <c r="I37" s="96" t="str">
        <f>IFERROR(INDEX('Moms- och bokf grupp'!Q:Q,
MATCH(INDEX(Produkter!E:E,
MATCH(VALUE(LEFT(C37,FIND(" ",C37,1)-1)),Produkter!C:C,0)),'Moms- och bokf grupp'!B:B,0)),"")</f>
        <v/>
      </c>
      <c r="J37" s="96"/>
      <c r="K37" s="96"/>
      <c r="L37" s="97"/>
      <c r="M37" s="96" t="str">
        <f>IF(C37="T Text","",IFERROR(IF(J37="","",L37+(L37*(
INDEX(Moms!C:C,MATCH(I37,Moms!A:A,0))/100))),"Produktnr saknas"))</f>
        <v/>
      </c>
      <c r="O37" s="96"/>
      <c r="P37" s="96"/>
      <c r="Q37" s="96"/>
      <c r="R37" s="96"/>
      <c r="S37" s="96"/>
      <c r="T37" s="96"/>
      <c r="V37" s="98"/>
      <c r="W37" s="98"/>
      <c r="X37" s="98"/>
      <c r="Y37" s="98"/>
      <c r="Z37" s="96"/>
      <c r="AA37" s="96"/>
      <c r="AB37" s="170" t="str">
        <f>IFERROR(IF(AND(INDEX('Moms- och bokf grupp'!S:S, MATCH(INDEX(Produkter!E:E, MATCH(VALUE(LEFT(C37,FIND(" ",C37,1)-1)),Produkter!C:C,0)),'Moms- och bokf grupp'!B:B,0))="x",P37=""),1,
IF(AND(INDEX('Moms- och bokf grupp'!T:T, MATCH(INDEX(Produkter!E:E, MATCH(VALUE(LEFT(C37,FIND(" ",C37,1)-1)),Produkter!C:C,0)),'Moms- och bokf grupp'!B:B,0))="x",Q37=""),1,
IF(AND(INDEX('Moms- och bokf grupp'!U:U, MATCH(INDEX(Produkter!E:E, MATCH(VALUE(LEFT(C37,FIND(" ",C37,1)-1)),Produkter!C:C,0)),'Moms- och bokf grupp'!B:B,0))="x",R37=""),1,
IF(AND(INDEX('Moms- och bokf grupp'!V:V, MATCH(INDEX(Produkter!E:E, MATCH(VALUE(LEFT(C37,FIND(" ",C37,1)-1)),Produkter!C:C,0)),'Moms- och bokf grupp'!B:B,0))="x",S37=""),1,
IF(AND(INDEX('Moms- och bokf grupp'!W:W, MATCH(INDEX(Produkter!E:E, MATCH(VALUE(LEFT(C37,FIND(" ",C37,1)-1)),Produkter!C:C,0)),'Moms- och bokf grupp'!B:B,0))="x",T37=""),1,
""))))),"")</f>
        <v/>
      </c>
      <c r="AD37" s="151" t="str">
        <f>IF(OR(L37=0,L37=""),"",MAX($AD$22:AD36)+1)</f>
        <v/>
      </c>
      <c r="AE37" s="149" t="str">
        <f t="shared" si="0"/>
        <v/>
      </c>
    </row>
    <row r="38" spans="3:31" s="101" customFormat="1">
      <c r="C38" s="403"/>
      <c r="D38" s="404"/>
      <c r="E38" s="420"/>
      <c r="F38" s="421"/>
      <c r="G38" s="421"/>
      <c r="H38" s="421"/>
      <c r="I38" s="96" t="str">
        <f>IFERROR(INDEX('Moms- och bokf grupp'!Q:Q,
MATCH(INDEX(Produkter!E:E,
MATCH(VALUE(LEFT(C38,FIND(" ",C38,1)-1)),Produkter!C:C,0)),'Moms- och bokf grupp'!B:B,0)),"")</f>
        <v/>
      </c>
      <c r="J38" s="96"/>
      <c r="K38" s="96"/>
      <c r="L38" s="97"/>
      <c r="M38" s="96" t="str">
        <f>IF(C38="T Text","",IFERROR(IF(J38="","",L38+(L38*(
INDEX(Moms!C:C,MATCH(I38,Moms!A:A,0))/100))),"Produktnr saknas"))</f>
        <v/>
      </c>
      <c r="O38" s="96"/>
      <c r="P38" s="96"/>
      <c r="Q38" s="96"/>
      <c r="R38" s="96"/>
      <c r="S38" s="96"/>
      <c r="T38" s="96"/>
      <c r="V38" s="98"/>
      <c r="W38" s="98"/>
      <c r="X38" s="98"/>
      <c r="Y38" s="98"/>
      <c r="Z38" s="96"/>
      <c r="AA38" s="96"/>
      <c r="AB38" s="170" t="str">
        <f>IFERROR(IF(AND(INDEX('Moms- och bokf grupp'!S:S, MATCH(INDEX(Produkter!E:E, MATCH(VALUE(LEFT(C38,FIND(" ",C38,1)-1)),Produkter!C:C,0)),'Moms- och bokf grupp'!B:B,0))="x",P38=""),1,
IF(AND(INDEX('Moms- och bokf grupp'!T:T, MATCH(INDEX(Produkter!E:E, MATCH(VALUE(LEFT(C38,FIND(" ",C38,1)-1)),Produkter!C:C,0)),'Moms- och bokf grupp'!B:B,0))="x",Q38=""),1,
IF(AND(INDEX('Moms- och bokf grupp'!U:U, MATCH(INDEX(Produkter!E:E, MATCH(VALUE(LEFT(C38,FIND(" ",C38,1)-1)),Produkter!C:C,0)),'Moms- och bokf grupp'!B:B,0))="x",R38=""),1,
IF(AND(INDEX('Moms- och bokf grupp'!V:V, MATCH(INDEX(Produkter!E:E, MATCH(VALUE(LEFT(C38,FIND(" ",C38,1)-1)),Produkter!C:C,0)),'Moms- och bokf grupp'!B:B,0))="x",S38=""),1,
IF(AND(INDEX('Moms- och bokf grupp'!W:W, MATCH(INDEX(Produkter!E:E, MATCH(VALUE(LEFT(C38,FIND(" ",C38,1)-1)),Produkter!C:C,0)),'Moms- och bokf grupp'!B:B,0))="x",T38=""),1,
""))))),"")</f>
        <v/>
      </c>
      <c r="AD38" s="151" t="str">
        <f>IF(OR(L38=0,L38=""),"",MAX($AD$22:AD37)+1)</f>
        <v/>
      </c>
      <c r="AE38" s="149" t="str">
        <f t="shared" si="0"/>
        <v/>
      </c>
    </row>
    <row r="39" spans="3:31" s="101" customFormat="1">
      <c r="C39" s="398"/>
      <c r="D39" s="399"/>
      <c r="E39" s="400"/>
      <c r="F39" s="401"/>
      <c r="G39" s="401"/>
      <c r="H39" s="402"/>
      <c r="I39" s="96" t="str">
        <f>IFERROR(INDEX('Moms- och bokf grupp'!Q:Q,
MATCH(INDEX(Produkter!E:E,
MATCH(VALUE(LEFT(C39,FIND(" ",C39,1)-1)),Produkter!C:C,0)),'Moms- och bokf grupp'!B:B,0)),"")</f>
        <v/>
      </c>
      <c r="J39" s="96"/>
      <c r="K39" s="96"/>
      <c r="L39" s="96"/>
      <c r="M39" s="96" t="str">
        <f>IF(C39="T Text","",IFERROR(IF(J39="","",L39+(L39*(
INDEX(Moms!C:C,MATCH(I39,Moms!A:A,0))/100))),"Produktnr saknas"))</f>
        <v/>
      </c>
      <c r="O39" s="96"/>
      <c r="P39" s="96"/>
      <c r="Q39" s="96"/>
      <c r="R39" s="96"/>
      <c r="S39" s="96"/>
      <c r="T39" s="96"/>
      <c r="V39" s="98"/>
      <c r="W39" s="98"/>
      <c r="X39" s="98"/>
      <c r="Y39" s="98"/>
      <c r="Z39" s="98"/>
      <c r="AA39" s="98"/>
      <c r="AB39" s="170" t="str">
        <f>IFERROR(IF(AND(INDEX('Moms- och bokf grupp'!S:S, MATCH(INDEX(Produkter!E:E, MATCH(VALUE(LEFT(C39,FIND(" ",C39,1)-1)),Produkter!C:C,0)),'Moms- och bokf grupp'!B:B,0))="x",P39=""),1,
IF(AND(INDEX('Moms- och bokf grupp'!T:T, MATCH(INDEX(Produkter!E:E, MATCH(VALUE(LEFT(C39,FIND(" ",C39,1)-1)),Produkter!C:C,0)),'Moms- och bokf grupp'!B:B,0))="x",Q39=""),1,
IF(AND(INDEX('Moms- och bokf grupp'!U:U, MATCH(INDEX(Produkter!E:E, MATCH(VALUE(LEFT(C39,FIND(" ",C39,1)-1)),Produkter!C:C,0)),'Moms- och bokf grupp'!B:B,0))="x",R39=""),1,
IF(AND(INDEX('Moms- och bokf grupp'!V:V, MATCH(INDEX(Produkter!E:E, MATCH(VALUE(LEFT(C39,FIND(" ",C39,1)-1)),Produkter!C:C,0)),'Moms- och bokf grupp'!B:B,0))="x",S39=""),1,
IF(AND(INDEX('Moms- och bokf grupp'!W:W, MATCH(INDEX(Produkter!E:E, MATCH(VALUE(LEFT(C39,FIND(" ",C39,1)-1)),Produkter!C:C,0)),'Moms- och bokf grupp'!B:B,0))="x",T39=""),1,
""))))),"")</f>
        <v/>
      </c>
      <c r="AD39" s="151" t="str">
        <f>IF(OR(L39=0,L39=""),"",MAX($AD$22:AD38)+1)</f>
        <v/>
      </c>
      <c r="AE39" s="149" t="str">
        <f t="shared" si="0"/>
        <v/>
      </c>
    </row>
    <row r="40" spans="3:31" s="101" customFormat="1">
      <c r="C40" s="398"/>
      <c r="D40" s="399"/>
      <c r="E40" s="400"/>
      <c r="F40" s="401"/>
      <c r="G40" s="401"/>
      <c r="H40" s="402"/>
      <c r="I40" s="96" t="str">
        <f>IFERROR(INDEX('Moms- och bokf grupp'!Q:Q,
MATCH(INDEX(Produkter!E:E,
MATCH(VALUE(LEFT(C40,FIND(" ",C40,1)-1)),Produkter!C:C,0)),'Moms- och bokf grupp'!B:B,0)),"")</f>
        <v/>
      </c>
      <c r="J40" s="96"/>
      <c r="K40" s="96"/>
      <c r="L40" s="96"/>
      <c r="M40" s="96" t="str">
        <f>IF(C40="T Text","",IFERROR(IF(J40="","",L40+(L40*(
INDEX(Moms!C:C,MATCH(I40,Moms!A:A,0))/100))),"Produktnr saknas"))</f>
        <v/>
      </c>
      <c r="O40" s="96"/>
      <c r="P40" s="96"/>
      <c r="Q40" s="96"/>
      <c r="R40" s="96"/>
      <c r="S40" s="96"/>
      <c r="T40" s="96"/>
      <c r="V40" s="98"/>
      <c r="W40" s="98"/>
      <c r="X40" s="98"/>
      <c r="Y40" s="98"/>
      <c r="Z40" s="98"/>
      <c r="AA40" s="98"/>
      <c r="AB40" s="170" t="str">
        <f>IFERROR(IF(AND(INDEX('Moms- och bokf grupp'!S:S, MATCH(INDEX(Produkter!E:E, MATCH(VALUE(LEFT(C40,FIND(" ",C40,1)-1)),Produkter!C:C,0)),'Moms- och bokf grupp'!B:B,0))="x",P40=""),1,
IF(AND(INDEX('Moms- och bokf grupp'!T:T, MATCH(INDEX(Produkter!E:E, MATCH(VALUE(LEFT(C40,FIND(" ",C40,1)-1)),Produkter!C:C,0)),'Moms- och bokf grupp'!B:B,0))="x",Q40=""),1,
IF(AND(INDEX('Moms- och bokf grupp'!U:U, MATCH(INDEX(Produkter!E:E, MATCH(VALUE(LEFT(C40,FIND(" ",C40,1)-1)),Produkter!C:C,0)),'Moms- och bokf grupp'!B:B,0))="x",R40=""),1,
IF(AND(INDEX('Moms- och bokf grupp'!V:V, MATCH(INDEX(Produkter!E:E, MATCH(VALUE(LEFT(C40,FIND(" ",C40,1)-1)),Produkter!C:C,0)),'Moms- och bokf grupp'!B:B,0))="x",S40=""),1,
IF(AND(INDEX('Moms- och bokf grupp'!W:W, MATCH(INDEX(Produkter!E:E, MATCH(VALUE(LEFT(C40,FIND(" ",C40,1)-1)),Produkter!C:C,0)),'Moms- och bokf grupp'!B:B,0))="x",T40=""),1,
""))))),"")</f>
        <v/>
      </c>
      <c r="AD40" s="151" t="str">
        <f>IF(OR(L40=0,L40=""),"",MAX($AD$22:AD39)+1)</f>
        <v/>
      </c>
      <c r="AE40" s="149" t="str">
        <f t="shared" si="0"/>
        <v/>
      </c>
    </row>
    <row r="41" spans="3:31" s="101" customFormat="1">
      <c r="C41" s="398"/>
      <c r="D41" s="399"/>
      <c r="E41" s="400"/>
      <c r="F41" s="401"/>
      <c r="G41" s="401"/>
      <c r="H41" s="402"/>
      <c r="I41" s="96" t="str">
        <f>IFERROR(INDEX('Moms- och bokf grupp'!Q:Q,
MATCH(INDEX(Produkter!E:E,
MATCH(VALUE(LEFT(C41,FIND(" ",C41,1)-1)),Produkter!C:C,0)),'Moms- och bokf grupp'!B:B,0)),"")</f>
        <v/>
      </c>
      <c r="J41" s="96"/>
      <c r="K41" s="96"/>
      <c r="L41" s="96"/>
      <c r="M41" s="96" t="str">
        <f>IF(C41="T Text","",IFERROR(IF(J41="","",L41+(L41*(
INDEX(Moms!C:C,MATCH(I41,Moms!A:A,0))/100))),"Produktnr saknas"))</f>
        <v/>
      </c>
      <c r="O41" s="96"/>
      <c r="P41" s="96"/>
      <c r="Q41" s="96"/>
      <c r="R41" s="96"/>
      <c r="S41" s="96"/>
      <c r="T41" s="96"/>
      <c r="V41" s="98"/>
      <c r="W41" s="98"/>
      <c r="X41" s="98"/>
      <c r="Y41" s="98"/>
      <c r="Z41" s="98"/>
      <c r="AA41" s="98"/>
      <c r="AB41" s="170" t="str">
        <f>IFERROR(IF(AND(INDEX('Moms- och bokf grupp'!S:S, MATCH(INDEX(Produkter!E:E, MATCH(VALUE(LEFT(C41,FIND(" ",C41,1)-1)),Produkter!C:C,0)),'Moms- och bokf grupp'!B:B,0))="x",P41=""),1,
IF(AND(INDEX('Moms- och bokf grupp'!T:T, MATCH(INDEX(Produkter!E:E, MATCH(VALUE(LEFT(C41,FIND(" ",C41,1)-1)),Produkter!C:C,0)),'Moms- och bokf grupp'!B:B,0))="x",Q41=""),1,
IF(AND(INDEX('Moms- och bokf grupp'!U:U, MATCH(INDEX(Produkter!E:E, MATCH(VALUE(LEFT(C41,FIND(" ",C41,1)-1)),Produkter!C:C,0)),'Moms- och bokf grupp'!B:B,0))="x",R41=""),1,
IF(AND(INDEX('Moms- och bokf grupp'!V:V, MATCH(INDEX(Produkter!E:E, MATCH(VALUE(LEFT(C41,FIND(" ",C41,1)-1)),Produkter!C:C,0)),'Moms- och bokf grupp'!B:B,0))="x",S41=""),1,
IF(AND(INDEX('Moms- och bokf grupp'!W:W, MATCH(INDEX(Produkter!E:E, MATCH(VALUE(LEFT(C41,FIND(" ",C41,1)-1)),Produkter!C:C,0)),'Moms- och bokf grupp'!B:B,0))="x",T41=""),1,
""))))),"")</f>
        <v/>
      </c>
      <c r="AD41" s="151" t="str">
        <f>IF(OR(L41=0,L41=""),"",MAX($AD$22:AD40)+1)</f>
        <v/>
      </c>
      <c r="AE41" s="149" t="str">
        <f t="shared" si="0"/>
        <v/>
      </c>
    </row>
    <row r="42" spans="3:31" s="101" customFormat="1">
      <c r="C42" s="398"/>
      <c r="D42" s="399"/>
      <c r="E42" s="400"/>
      <c r="F42" s="401"/>
      <c r="G42" s="401"/>
      <c r="H42" s="402"/>
      <c r="I42" s="96" t="str">
        <f>IFERROR(INDEX('Moms- och bokf grupp'!Q:Q,
MATCH(INDEX(Produkter!E:E,
MATCH(VALUE(LEFT(C42,FIND(" ",C42,1)-1)),Produkter!C:C,0)),'Moms- och bokf grupp'!B:B,0)),"")</f>
        <v/>
      </c>
      <c r="J42" s="96"/>
      <c r="K42" s="96"/>
      <c r="L42" s="96"/>
      <c r="M42" s="96" t="str">
        <f>IF(C42="T Text","",IFERROR(IF(J42="","",L42+(L42*(
INDEX(Moms!C:C,MATCH(I42,Moms!A:A,0))/100))),"Produktnr saknas"))</f>
        <v/>
      </c>
      <c r="O42" s="96"/>
      <c r="P42" s="96"/>
      <c r="Q42" s="96"/>
      <c r="R42" s="96"/>
      <c r="S42" s="96"/>
      <c r="T42" s="96"/>
      <c r="V42" s="98"/>
      <c r="W42" s="98"/>
      <c r="X42" s="98"/>
      <c r="Y42" s="98"/>
      <c r="Z42" s="98"/>
      <c r="AA42" s="98"/>
      <c r="AB42" s="170" t="str">
        <f>IFERROR(IF(AND(INDEX('Moms- och bokf grupp'!S:S, MATCH(INDEX(Produkter!E:E, MATCH(VALUE(LEFT(C42,FIND(" ",C42,1)-1)),Produkter!C:C,0)),'Moms- och bokf grupp'!B:B,0))="x",P42=""),1,
IF(AND(INDEX('Moms- och bokf grupp'!T:T, MATCH(INDEX(Produkter!E:E, MATCH(VALUE(LEFT(C42,FIND(" ",C42,1)-1)),Produkter!C:C,0)),'Moms- och bokf grupp'!B:B,0))="x",Q42=""),1,
IF(AND(INDEX('Moms- och bokf grupp'!U:U, MATCH(INDEX(Produkter!E:E, MATCH(VALUE(LEFT(C42,FIND(" ",C42,1)-1)),Produkter!C:C,0)),'Moms- och bokf grupp'!B:B,0))="x",R42=""),1,
IF(AND(INDEX('Moms- och bokf grupp'!V:V, MATCH(INDEX(Produkter!E:E, MATCH(VALUE(LEFT(C42,FIND(" ",C42,1)-1)),Produkter!C:C,0)),'Moms- och bokf grupp'!B:B,0))="x",S42=""),1,
IF(AND(INDEX('Moms- och bokf grupp'!W:W, MATCH(INDEX(Produkter!E:E, MATCH(VALUE(LEFT(C42,FIND(" ",C42,1)-1)),Produkter!C:C,0)),'Moms- och bokf grupp'!B:B,0))="x",T42=""),1,
""))))),"")</f>
        <v/>
      </c>
      <c r="AD42" s="151" t="str">
        <f>IF(OR(L42=0,L42=""),"",MAX($AD$22:AD41)+1)</f>
        <v/>
      </c>
      <c r="AE42" s="149" t="str">
        <f t="shared" si="0"/>
        <v/>
      </c>
    </row>
    <row r="43" spans="3:31" s="101" customFormat="1">
      <c r="C43" s="398"/>
      <c r="D43" s="399"/>
      <c r="E43" s="400"/>
      <c r="F43" s="401"/>
      <c r="G43" s="401"/>
      <c r="H43" s="402"/>
      <c r="I43" s="96" t="str">
        <f>IFERROR(INDEX('Moms- och bokf grupp'!Q:Q,
MATCH(INDEX(Produkter!E:E,
MATCH(VALUE(LEFT(C43,FIND(" ",C43,1)-1)),Produkter!C:C,0)),'Moms- och bokf grupp'!B:B,0)),"")</f>
        <v/>
      </c>
      <c r="J43" s="96"/>
      <c r="K43" s="96"/>
      <c r="L43" s="96"/>
      <c r="M43" s="96" t="str">
        <f>IF(C43="T Text","",IFERROR(IF(J43="","",L43+(L43*(
INDEX(Moms!C:C,MATCH(I43,Moms!A:A,0))/100))),"Produktnr saknas"))</f>
        <v/>
      </c>
      <c r="O43" s="96"/>
      <c r="P43" s="96"/>
      <c r="Q43" s="96"/>
      <c r="R43" s="96"/>
      <c r="S43" s="96"/>
      <c r="T43" s="96"/>
      <c r="V43" s="98"/>
      <c r="W43" s="98"/>
      <c r="X43" s="98"/>
      <c r="Y43" s="98"/>
      <c r="Z43" s="98"/>
      <c r="AA43" s="98"/>
      <c r="AB43" s="170" t="str">
        <f>IFERROR(IF(AND(INDEX('Moms- och bokf grupp'!S:S, MATCH(INDEX(Produkter!E:E, MATCH(VALUE(LEFT(C43,FIND(" ",C43,1)-1)),Produkter!C:C,0)),'Moms- och bokf grupp'!B:B,0))="x",P43=""),1,
IF(AND(INDEX('Moms- och bokf grupp'!T:T, MATCH(INDEX(Produkter!E:E, MATCH(VALUE(LEFT(C43,FIND(" ",C43,1)-1)),Produkter!C:C,0)),'Moms- och bokf grupp'!B:B,0))="x",Q43=""),1,
IF(AND(INDEX('Moms- och bokf grupp'!U:U, MATCH(INDEX(Produkter!E:E, MATCH(VALUE(LEFT(C43,FIND(" ",C43,1)-1)),Produkter!C:C,0)),'Moms- och bokf grupp'!B:B,0))="x",R43=""),1,
IF(AND(INDEX('Moms- och bokf grupp'!V:V, MATCH(INDEX(Produkter!E:E, MATCH(VALUE(LEFT(C43,FIND(" ",C43,1)-1)),Produkter!C:C,0)),'Moms- och bokf grupp'!B:B,0))="x",S43=""),1,
IF(AND(INDEX('Moms- och bokf grupp'!W:W, MATCH(INDEX(Produkter!E:E, MATCH(VALUE(LEFT(C43,FIND(" ",C43,1)-1)),Produkter!C:C,0)),'Moms- och bokf grupp'!B:B,0))="x",T43=""),1,
""))))),"")</f>
        <v/>
      </c>
      <c r="AD43" s="151" t="str">
        <f>IF(OR(L43=0,L43=""),"",MAX($AD$22:AD42)+1)</f>
        <v/>
      </c>
      <c r="AE43" s="149" t="str">
        <f t="shared" si="0"/>
        <v/>
      </c>
    </row>
    <row r="44" spans="3:31" s="101" customFormat="1">
      <c r="C44" s="398"/>
      <c r="D44" s="399"/>
      <c r="E44" s="400"/>
      <c r="F44" s="401"/>
      <c r="G44" s="401"/>
      <c r="H44" s="402"/>
      <c r="I44" s="96" t="str">
        <f>IFERROR(INDEX('Moms- och bokf grupp'!Q:Q,
MATCH(INDEX(Produkter!E:E,
MATCH(VALUE(LEFT(C44,FIND(" ",C44,1)-1)),Produkter!C:C,0)),'Moms- och bokf grupp'!B:B,0)),"")</f>
        <v/>
      </c>
      <c r="J44" s="96"/>
      <c r="K44" s="96"/>
      <c r="L44" s="96"/>
      <c r="M44" s="96" t="str">
        <f>IF(C44="T Text","",IFERROR(IF(J44="","",L44+(L44*(
INDEX(Moms!C:C,MATCH(I44,Moms!A:A,0))/100))),"Produktnr saknas"))</f>
        <v/>
      </c>
      <c r="O44" s="96"/>
      <c r="P44" s="96"/>
      <c r="Q44" s="96"/>
      <c r="R44" s="96"/>
      <c r="S44" s="96"/>
      <c r="T44" s="96"/>
      <c r="V44" s="98"/>
      <c r="W44" s="98"/>
      <c r="X44" s="98"/>
      <c r="Y44" s="98"/>
      <c r="Z44" s="98"/>
      <c r="AA44" s="98"/>
      <c r="AB44" s="170" t="str">
        <f>IFERROR(IF(AND(INDEX('Moms- och bokf grupp'!S:S, MATCH(INDEX(Produkter!E:E, MATCH(VALUE(LEFT(C44,FIND(" ",C44,1)-1)),Produkter!C:C,0)),'Moms- och bokf grupp'!B:B,0))="x",P44=""),1,
IF(AND(INDEX('Moms- och bokf grupp'!T:T, MATCH(INDEX(Produkter!E:E, MATCH(VALUE(LEFT(C44,FIND(" ",C44,1)-1)),Produkter!C:C,0)),'Moms- och bokf grupp'!B:B,0))="x",Q44=""),1,
IF(AND(INDEX('Moms- och bokf grupp'!U:U, MATCH(INDEX(Produkter!E:E, MATCH(VALUE(LEFT(C44,FIND(" ",C44,1)-1)),Produkter!C:C,0)),'Moms- och bokf grupp'!B:B,0))="x",R44=""),1,
IF(AND(INDEX('Moms- och bokf grupp'!V:V, MATCH(INDEX(Produkter!E:E, MATCH(VALUE(LEFT(C44,FIND(" ",C44,1)-1)),Produkter!C:C,0)),'Moms- och bokf grupp'!B:B,0))="x",S44=""),1,
IF(AND(INDEX('Moms- och bokf grupp'!W:W, MATCH(INDEX(Produkter!E:E, MATCH(VALUE(LEFT(C44,FIND(" ",C44,1)-1)),Produkter!C:C,0)),'Moms- och bokf grupp'!B:B,0))="x",T44=""),1,
""))))),"")</f>
        <v/>
      </c>
      <c r="AD44" s="151" t="str">
        <f>IF(OR(L44=0,L44=""),"",MAX($AD$22:AD43)+1)</f>
        <v/>
      </c>
      <c r="AE44" s="149" t="str">
        <f t="shared" si="0"/>
        <v/>
      </c>
    </row>
    <row r="45" spans="3:31" s="101" customFormat="1">
      <c r="C45" s="398"/>
      <c r="D45" s="399"/>
      <c r="E45" s="400"/>
      <c r="F45" s="401"/>
      <c r="G45" s="401"/>
      <c r="H45" s="402"/>
      <c r="I45" s="96" t="str">
        <f>IFERROR(INDEX('Moms- och bokf grupp'!Q:Q,
MATCH(INDEX(Produkter!E:E,
MATCH(VALUE(LEFT(C45,FIND(" ",C45,1)-1)),Produkter!C:C,0)),'Moms- och bokf grupp'!B:B,0)),"")</f>
        <v/>
      </c>
      <c r="J45" s="96"/>
      <c r="K45" s="96"/>
      <c r="L45" s="96"/>
      <c r="M45" s="96" t="str">
        <f>IF(C45="T Text","",IFERROR(IF(J45="","",L45+(L45*(
INDEX(Moms!C:C,MATCH(I45,Moms!A:A,0))/100))),"Produktnr saknas"))</f>
        <v/>
      </c>
      <c r="O45" s="96"/>
      <c r="P45" s="96"/>
      <c r="Q45" s="96"/>
      <c r="R45" s="96"/>
      <c r="S45" s="96"/>
      <c r="T45" s="96"/>
      <c r="V45" s="98"/>
      <c r="W45" s="98"/>
      <c r="X45" s="98"/>
      <c r="Y45" s="98"/>
      <c r="Z45" s="98"/>
      <c r="AA45" s="98"/>
      <c r="AB45" s="170" t="str">
        <f>IFERROR(IF(AND(INDEX('Moms- och bokf grupp'!S:S, MATCH(INDEX(Produkter!E:E, MATCH(VALUE(LEFT(C45,FIND(" ",C45,1)-1)),Produkter!C:C,0)),'Moms- och bokf grupp'!B:B,0))="x",P45=""),1,
IF(AND(INDEX('Moms- och bokf grupp'!T:T, MATCH(INDEX(Produkter!E:E, MATCH(VALUE(LEFT(C45,FIND(" ",C45,1)-1)),Produkter!C:C,0)),'Moms- och bokf grupp'!B:B,0))="x",Q45=""),1,
IF(AND(INDEX('Moms- och bokf grupp'!U:U, MATCH(INDEX(Produkter!E:E, MATCH(VALUE(LEFT(C45,FIND(" ",C45,1)-1)),Produkter!C:C,0)),'Moms- och bokf grupp'!B:B,0))="x",R45=""),1,
IF(AND(INDEX('Moms- och bokf grupp'!V:V, MATCH(INDEX(Produkter!E:E, MATCH(VALUE(LEFT(C45,FIND(" ",C45,1)-1)),Produkter!C:C,0)),'Moms- och bokf grupp'!B:B,0))="x",S45=""),1,
IF(AND(INDEX('Moms- och bokf grupp'!W:W, MATCH(INDEX(Produkter!E:E, MATCH(VALUE(LEFT(C45,FIND(" ",C45,1)-1)),Produkter!C:C,0)),'Moms- och bokf grupp'!B:B,0))="x",T45=""),1,
""))))),"")</f>
        <v/>
      </c>
      <c r="AD45" s="151" t="str">
        <f>IF(OR(L45=0,L45=""),"",MAX($AD$22:AD44)+1)</f>
        <v/>
      </c>
      <c r="AE45" s="149" t="str">
        <f t="shared" si="0"/>
        <v/>
      </c>
    </row>
    <row r="46" spans="3:31" s="101" customFormat="1">
      <c r="C46" s="398"/>
      <c r="D46" s="399"/>
      <c r="E46" s="400"/>
      <c r="F46" s="401"/>
      <c r="G46" s="401"/>
      <c r="H46" s="402"/>
      <c r="I46" s="96" t="str">
        <f>IFERROR(INDEX('Moms- och bokf grupp'!Q:Q,
MATCH(INDEX(Produkter!E:E,
MATCH(VALUE(LEFT(C46,FIND(" ",C46,1)-1)),Produkter!C:C,0)),'Moms- och bokf grupp'!B:B,0)),"")</f>
        <v/>
      </c>
      <c r="J46" s="96"/>
      <c r="K46" s="96"/>
      <c r="L46" s="96"/>
      <c r="M46" s="96" t="str">
        <f>IF(C46="T Text","",IFERROR(IF(J46="","",L46+(L46*(
INDEX(Moms!C:C,MATCH(I46,Moms!A:A,0))/100))),"Produktnr saknas"))</f>
        <v/>
      </c>
      <c r="O46" s="96"/>
      <c r="P46" s="96"/>
      <c r="Q46" s="96"/>
      <c r="R46" s="96"/>
      <c r="S46" s="96"/>
      <c r="T46" s="96"/>
      <c r="V46" s="98"/>
      <c r="W46" s="98"/>
      <c r="X46" s="98"/>
      <c r="Y46" s="98"/>
      <c r="Z46" s="98"/>
      <c r="AA46" s="98"/>
      <c r="AB46" s="170" t="str">
        <f>IFERROR(IF(AND(INDEX('Moms- och bokf grupp'!S:S, MATCH(INDEX(Produkter!E:E, MATCH(VALUE(LEFT(C46,FIND(" ",C46,1)-1)),Produkter!C:C,0)),'Moms- och bokf grupp'!B:B,0))="x",P46=""),1,
IF(AND(INDEX('Moms- och bokf grupp'!T:T, MATCH(INDEX(Produkter!E:E, MATCH(VALUE(LEFT(C46,FIND(" ",C46,1)-1)),Produkter!C:C,0)),'Moms- och bokf grupp'!B:B,0))="x",Q46=""),1,
IF(AND(INDEX('Moms- och bokf grupp'!U:U, MATCH(INDEX(Produkter!E:E, MATCH(VALUE(LEFT(C46,FIND(" ",C46,1)-1)),Produkter!C:C,0)),'Moms- och bokf grupp'!B:B,0))="x",R46=""),1,
IF(AND(INDEX('Moms- och bokf grupp'!V:V, MATCH(INDEX(Produkter!E:E, MATCH(VALUE(LEFT(C46,FIND(" ",C46,1)-1)),Produkter!C:C,0)),'Moms- och bokf grupp'!B:B,0))="x",S46=""),1,
IF(AND(INDEX('Moms- och bokf grupp'!W:W, MATCH(INDEX(Produkter!E:E, MATCH(VALUE(LEFT(C46,FIND(" ",C46,1)-1)),Produkter!C:C,0)),'Moms- och bokf grupp'!B:B,0))="x",T46=""),1,
""))))),"")</f>
        <v/>
      </c>
      <c r="AD46" s="151" t="str">
        <f>IF(OR(L46=0,L46=""),"",MAX($AD$22:AD45)+1)</f>
        <v/>
      </c>
      <c r="AE46" s="149" t="str">
        <f t="shared" si="0"/>
        <v/>
      </c>
    </row>
    <row r="47" spans="3:31" s="101" customFormat="1">
      <c r="C47" s="398"/>
      <c r="D47" s="399"/>
      <c r="E47" s="400"/>
      <c r="F47" s="401"/>
      <c r="G47" s="401"/>
      <c r="H47" s="402"/>
      <c r="I47" s="96" t="str">
        <f>IFERROR(INDEX('Moms- och bokf grupp'!Q:Q,
MATCH(INDEX(Produkter!E:E,
MATCH(VALUE(LEFT(C47,FIND(" ",C47,1)-1)),Produkter!C:C,0)),'Moms- och bokf grupp'!B:B,0)),"")</f>
        <v/>
      </c>
      <c r="J47" s="96"/>
      <c r="K47" s="96"/>
      <c r="L47" s="96"/>
      <c r="M47" s="96" t="str">
        <f>IF(C47="T Text","",IFERROR(IF(J47="","",L47+(L47*(
INDEX(Moms!C:C,MATCH(I47,Moms!A:A,0))/100))),"Produktnr saknas"))</f>
        <v/>
      </c>
      <c r="O47" s="96"/>
      <c r="P47" s="96"/>
      <c r="Q47" s="96"/>
      <c r="R47" s="96"/>
      <c r="S47" s="96"/>
      <c r="T47" s="96"/>
      <c r="V47" s="98"/>
      <c r="W47" s="98"/>
      <c r="X47" s="98"/>
      <c r="Y47" s="98"/>
      <c r="Z47" s="98"/>
      <c r="AA47" s="98"/>
      <c r="AB47" s="170" t="str">
        <f>IFERROR(IF(AND(INDEX('Moms- och bokf grupp'!S:S, MATCH(INDEX(Produkter!E:E, MATCH(VALUE(LEFT(C47,FIND(" ",C47,1)-1)),Produkter!C:C,0)),'Moms- och bokf grupp'!B:B,0))="x",P47=""),1,
IF(AND(INDEX('Moms- och bokf grupp'!T:T, MATCH(INDEX(Produkter!E:E, MATCH(VALUE(LEFT(C47,FIND(" ",C47,1)-1)),Produkter!C:C,0)),'Moms- och bokf grupp'!B:B,0))="x",Q47=""),1,
IF(AND(INDEX('Moms- och bokf grupp'!U:U, MATCH(INDEX(Produkter!E:E, MATCH(VALUE(LEFT(C47,FIND(" ",C47,1)-1)),Produkter!C:C,0)),'Moms- och bokf grupp'!B:B,0))="x",R47=""),1,
IF(AND(INDEX('Moms- och bokf grupp'!V:V, MATCH(INDEX(Produkter!E:E, MATCH(VALUE(LEFT(C47,FIND(" ",C47,1)-1)),Produkter!C:C,0)),'Moms- och bokf grupp'!B:B,0))="x",S47=""),1,
IF(AND(INDEX('Moms- och bokf grupp'!W:W, MATCH(INDEX(Produkter!E:E, MATCH(VALUE(LEFT(C47,FIND(" ",C47,1)-1)),Produkter!C:C,0)),'Moms- och bokf grupp'!B:B,0))="x",T47=""),1,
""))))),"")</f>
        <v/>
      </c>
      <c r="AD47" s="151" t="str">
        <f>IF(OR(L47=0,L47=""),"",MAX($AD$22:AD46)+1)</f>
        <v/>
      </c>
      <c r="AE47" s="149" t="str">
        <f t="shared" si="0"/>
        <v/>
      </c>
    </row>
    <row r="48" spans="3:31" s="101" customFormat="1">
      <c r="C48" s="398"/>
      <c r="D48" s="399"/>
      <c r="E48" s="400"/>
      <c r="F48" s="401"/>
      <c r="G48" s="401"/>
      <c r="H48" s="402"/>
      <c r="I48" s="96" t="str">
        <f>IFERROR(INDEX('Moms- och bokf grupp'!Q:Q,
MATCH(INDEX(Produkter!E:E,
MATCH(VALUE(LEFT(C48,FIND(" ",C48,1)-1)),Produkter!C:C,0)),'Moms- och bokf grupp'!B:B,0)),"")</f>
        <v/>
      </c>
      <c r="J48" s="96"/>
      <c r="K48" s="96"/>
      <c r="L48" s="96"/>
      <c r="M48" s="96" t="str">
        <f>IF(C48="T Text","",IFERROR(IF(J48="","",L48+(L48*(
INDEX(Moms!C:C,MATCH(I48,Moms!A:A,0))/100))),"Produktnr saknas"))</f>
        <v/>
      </c>
      <c r="O48" s="96"/>
      <c r="P48" s="96"/>
      <c r="Q48" s="96"/>
      <c r="R48" s="96"/>
      <c r="S48" s="96"/>
      <c r="T48" s="96"/>
      <c r="V48" s="98"/>
      <c r="W48" s="98"/>
      <c r="X48" s="98"/>
      <c r="Y48" s="98"/>
      <c r="Z48" s="98"/>
      <c r="AA48" s="98"/>
      <c r="AB48" s="170" t="str">
        <f>IFERROR(IF(AND(INDEX('Moms- och bokf grupp'!S:S, MATCH(INDEX(Produkter!E:E, MATCH(VALUE(LEFT(C48,FIND(" ",C48,1)-1)),Produkter!C:C,0)),'Moms- och bokf grupp'!B:B,0))="x",P48=""),1,
IF(AND(INDEX('Moms- och bokf grupp'!T:T, MATCH(INDEX(Produkter!E:E, MATCH(VALUE(LEFT(C48,FIND(" ",C48,1)-1)),Produkter!C:C,0)),'Moms- och bokf grupp'!B:B,0))="x",Q48=""),1,
IF(AND(INDEX('Moms- och bokf grupp'!U:U, MATCH(INDEX(Produkter!E:E, MATCH(VALUE(LEFT(C48,FIND(" ",C48,1)-1)),Produkter!C:C,0)),'Moms- och bokf grupp'!B:B,0))="x",R48=""),1,
IF(AND(INDEX('Moms- och bokf grupp'!V:V, MATCH(INDEX(Produkter!E:E, MATCH(VALUE(LEFT(C48,FIND(" ",C48,1)-1)),Produkter!C:C,0)),'Moms- och bokf grupp'!B:B,0))="x",S48=""),1,
IF(AND(INDEX('Moms- och bokf grupp'!W:W, MATCH(INDEX(Produkter!E:E, MATCH(VALUE(LEFT(C48,FIND(" ",C48,1)-1)),Produkter!C:C,0)),'Moms- och bokf grupp'!B:B,0))="x",T48=""),1,
""))))),"")</f>
        <v/>
      </c>
      <c r="AD48" s="151" t="str">
        <f>IF(OR(L48=0,L48=""),"",MAX($AD$22:AD47)+1)</f>
        <v/>
      </c>
      <c r="AE48" s="149" t="str">
        <f t="shared" si="0"/>
        <v/>
      </c>
    </row>
    <row r="49" spans="3:31" s="101" customFormat="1">
      <c r="C49" s="398"/>
      <c r="D49" s="399"/>
      <c r="E49" s="400"/>
      <c r="F49" s="401"/>
      <c r="G49" s="401"/>
      <c r="H49" s="402"/>
      <c r="I49" s="96" t="str">
        <f>IFERROR(INDEX('Moms- och bokf grupp'!Q:Q,
MATCH(INDEX(Produkter!E:E,
MATCH(VALUE(LEFT(C49,FIND(" ",C49,1)-1)),Produkter!C:C,0)),'Moms- och bokf grupp'!B:B,0)),"")</f>
        <v/>
      </c>
      <c r="J49" s="96"/>
      <c r="K49" s="96"/>
      <c r="L49" s="96"/>
      <c r="M49" s="96" t="str">
        <f>IF(C49="T Text","",IFERROR(IF(J49="","",L49+(L49*(
INDEX(Moms!C:C,MATCH(I49,Moms!A:A,0))/100))),"Produktnr saknas"))</f>
        <v/>
      </c>
      <c r="O49" s="96"/>
      <c r="P49" s="96"/>
      <c r="Q49" s="96"/>
      <c r="R49" s="96"/>
      <c r="S49" s="96"/>
      <c r="T49" s="96"/>
      <c r="V49" s="98"/>
      <c r="W49" s="98"/>
      <c r="X49" s="98"/>
      <c r="Y49" s="98"/>
      <c r="Z49" s="98"/>
      <c r="AA49" s="98"/>
      <c r="AB49" s="170" t="str">
        <f>IFERROR(IF(AND(INDEX('Moms- och bokf grupp'!S:S, MATCH(INDEX(Produkter!E:E, MATCH(VALUE(LEFT(C49,FIND(" ",C49,1)-1)),Produkter!C:C,0)),'Moms- och bokf grupp'!B:B,0))="x",P49=""),1,
IF(AND(INDEX('Moms- och bokf grupp'!T:T, MATCH(INDEX(Produkter!E:E, MATCH(VALUE(LEFT(C49,FIND(" ",C49,1)-1)),Produkter!C:C,0)),'Moms- och bokf grupp'!B:B,0))="x",Q49=""),1,
IF(AND(INDEX('Moms- och bokf grupp'!U:U, MATCH(INDEX(Produkter!E:E, MATCH(VALUE(LEFT(C49,FIND(" ",C49,1)-1)),Produkter!C:C,0)),'Moms- och bokf grupp'!B:B,0))="x",R49=""),1,
IF(AND(INDEX('Moms- och bokf grupp'!V:V, MATCH(INDEX(Produkter!E:E, MATCH(VALUE(LEFT(C49,FIND(" ",C49,1)-1)),Produkter!C:C,0)),'Moms- och bokf grupp'!B:B,0))="x",S49=""),1,
IF(AND(INDEX('Moms- och bokf grupp'!W:W, MATCH(INDEX(Produkter!E:E, MATCH(VALUE(LEFT(C49,FIND(" ",C49,1)-1)),Produkter!C:C,0)),'Moms- och bokf grupp'!B:B,0))="x",T49=""),1,
""))))),"")</f>
        <v/>
      </c>
      <c r="AD49" s="151" t="str">
        <f>IF(OR(L49=0,L49=""),"",MAX($AD$22:AD48)+1)</f>
        <v/>
      </c>
      <c r="AE49" s="149" t="str">
        <f t="shared" si="0"/>
        <v/>
      </c>
    </row>
    <row r="50" spans="3:31" s="101" customFormat="1">
      <c r="C50" s="398"/>
      <c r="D50" s="399"/>
      <c r="E50" s="400"/>
      <c r="F50" s="401"/>
      <c r="G50" s="401"/>
      <c r="H50" s="402"/>
      <c r="I50" s="96" t="str">
        <f>IFERROR(INDEX('Moms- och bokf grupp'!Q:Q,
MATCH(INDEX(Produkter!E:E,
MATCH(VALUE(LEFT(C50,FIND(" ",C50,1)-1)),Produkter!C:C,0)),'Moms- och bokf grupp'!B:B,0)),"")</f>
        <v/>
      </c>
      <c r="J50" s="96"/>
      <c r="K50" s="96"/>
      <c r="L50" s="96"/>
      <c r="M50" s="96" t="str">
        <f>IF(C50="T Text","",IFERROR(IF(J50="","",L50+(L50*(
INDEX(Moms!C:C,MATCH(I50,Moms!A:A,0))/100))),"Produktnr saknas"))</f>
        <v/>
      </c>
      <c r="O50" s="96"/>
      <c r="P50" s="96"/>
      <c r="Q50" s="96"/>
      <c r="R50" s="96"/>
      <c r="S50" s="96"/>
      <c r="T50" s="96"/>
      <c r="V50" s="98"/>
      <c r="W50" s="98"/>
      <c r="X50" s="98"/>
      <c r="Y50" s="98"/>
      <c r="Z50" s="98"/>
      <c r="AA50" s="98"/>
      <c r="AB50" s="170" t="str">
        <f>IFERROR(IF(AND(INDEX('Moms- och bokf grupp'!S:S, MATCH(INDEX(Produkter!E:E, MATCH(VALUE(LEFT(C50,FIND(" ",C50,1)-1)),Produkter!C:C,0)),'Moms- och bokf grupp'!B:B,0))="x",P50=""),1,
IF(AND(INDEX('Moms- och bokf grupp'!T:T, MATCH(INDEX(Produkter!E:E, MATCH(VALUE(LEFT(C50,FIND(" ",C50,1)-1)),Produkter!C:C,0)),'Moms- och bokf grupp'!B:B,0))="x",Q50=""),1,
IF(AND(INDEX('Moms- och bokf grupp'!U:U, MATCH(INDEX(Produkter!E:E, MATCH(VALUE(LEFT(C50,FIND(" ",C50,1)-1)),Produkter!C:C,0)),'Moms- och bokf grupp'!B:B,0))="x",R50=""),1,
IF(AND(INDEX('Moms- och bokf grupp'!V:V, MATCH(INDEX(Produkter!E:E, MATCH(VALUE(LEFT(C50,FIND(" ",C50,1)-1)),Produkter!C:C,0)),'Moms- och bokf grupp'!B:B,0))="x",S50=""),1,
IF(AND(INDEX('Moms- och bokf grupp'!W:W, MATCH(INDEX(Produkter!E:E, MATCH(VALUE(LEFT(C50,FIND(" ",C50,1)-1)),Produkter!C:C,0)),'Moms- och bokf grupp'!B:B,0))="x",T50=""),1,
""))))),"")</f>
        <v/>
      </c>
      <c r="AD50" s="151" t="str">
        <f>IF(OR(L50=0,L50=""),"",MAX($AD$22:AD49)+1)</f>
        <v/>
      </c>
      <c r="AE50" s="149" t="str">
        <f t="shared" si="0"/>
        <v/>
      </c>
    </row>
    <row r="51" spans="3:31" s="101" customFormat="1">
      <c r="C51" s="398"/>
      <c r="D51" s="399"/>
      <c r="E51" s="400"/>
      <c r="F51" s="401"/>
      <c r="G51" s="401"/>
      <c r="H51" s="402"/>
      <c r="I51" s="96" t="str">
        <f>IFERROR(INDEX('Moms- och bokf grupp'!Q:Q,
MATCH(INDEX(Produkter!E:E,
MATCH(VALUE(LEFT(C51,FIND(" ",C51,1)-1)),Produkter!C:C,0)),'Moms- och bokf grupp'!B:B,0)),"")</f>
        <v/>
      </c>
      <c r="J51" s="96"/>
      <c r="K51" s="96"/>
      <c r="L51" s="96"/>
      <c r="M51" s="96" t="str">
        <f>IF(C51="T Text","",IFERROR(IF(J51="","",L51+(L51*(
INDEX(Moms!C:C,MATCH(I51,Moms!A:A,0))/100))),"Produktnr saknas"))</f>
        <v/>
      </c>
      <c r="O51" s="96"/>
      <c r="P51" s="96"/>
      <c r="Q51" s="96"/>
      <c r="R51" s="96"/>
      <c r="S51" s="96"/>
      <c r="T51" s="96"/>
      <c r="V51" s="98"/>
      <c r="W51" s="98"/>
      <c r="X51" s="98"/>
      <c r="Y51" s="98"/>
      <c r="Z51" s="98"/>
      <c r="AA51" s="98"/>
      <c r="AB51" s="170" t="str">
        <f>IFERROR(IF(AND(INDEX('Moms- och bokf grupp'!S:S, MATCH(INDEX(Produkter!E:E, MATCH(VALUE(LEFT(C51,FIND(" ",C51,1)-1)),Produkter!C:C,0)),'Moms- och bokf grupp'!B:B,0))="x",P51=""),1,
IF(AND(INDEX('Moms- och bokf grupp'!T:T, MATCH(INDEX(Produkter!E:E, MATCH(VALUE(LEFT(C51,FIND(" ",C51,1)-1)),Produkter!C:C,0)),'Moms- och bokf grupp'!B:B,0))="x",Q51=""),1,
IF(AND(INDEX('Moms- och bokf grupp'!U:U, MATCH(INDEX(Produkter!E:E, MATCH(VALUE(LEFT(C51,FIND(" ",C51,1)-1)),Produkter!C:C,0)),'Moms- och bokf grupp'!B:B,0))="x",R51=""),1,
IF(AND(INDEX('Moms- och bokf grupp'!V:V, MATCH(INDEX(Produkter!E:E, MATCH(VALUE(LEFT(C51,FIND(" ",C51,1)-1)),Produkter!C:C,0)),'Moms- och bokf grupp'!B:B,0))="x",S51=""),1,
IF(AND(INDEX('Moms- och bokf grupp'!W:W, MATCH(INDEX(Produkter!E:E, MATCH(VALUE(LEFT(C51,FIND(" ",C51,1)-1)),Produkter!C:C,0)),'Moms- och bokf grupp'!B:B,0))="x",T51=""),1,
""))))),"")</f>
        <v/>
      </c>
      <c r="AD51" s="151" t="str">
        <f>IF(OR(L51=0,L51=""),"",MAX($AD$22:AD50)+1)</f>
        <v/>
      </c>
      <c r="AE51" s="149" t="str">
        <f t="shared" si="0"/>
        <v/>
      </c>
    </row>
    <row r="52" spans="3:31" s="101" customFormat="1">
      <c r="C52" s="398"/>
      <c r="D52" s="399"/>
      <c r="E52" s="400"/>
      <c r="F52" s="401"/>
      <c r="G52" s="401"/>
      <c r="H52" s="402"/>
      <c r="I52" s="96" t="str">
        <f>IFERROR(INDEX('Moms- och bokf grupp'!Q:Q,
MATCH(INDEX(Produkter!E:E,
MATCH(VALUE(LEFT(C52,FIND(" ",C52,1)-1)),Produkter!C:C,0)),'Moms- och bokf grupp'!B:B,0)),"")</f>
        <v/>
      </c>
      <c r="J52" s="96"/>
      <c r="K52" s="96"/>
      <c r="L52" s="96"/>
      <c r="M52" s="96" t="str">
        <f>IF(C52="T Text","",IFERROR(IF(J52="","",L52+(L52*(
INDEX(Moms!C:C,MATCH(I52,Moms!A:A,0))/100))),"Produktnr saknas"))</f>
        <v/>
      </c>
      <c r="O52" s="96"/>
      <c r="P52" s="96"/>
      <c r="Q52" s="96"/>
      <c r="R52" s="96"/>
      <c r="S52" s="96"/>
      <c r="T52" s="96"/>
      <c r="V52" s="98"/>
      <c r="W52" s="98"/>
      <c r="X52" s="98"/>
      <c r="Y52" s="98"/>
      <c r="Z52" s="98"/>
      <c r="AA52" s="98"/>
      <c r="AB52" s="170" t="str">
        <f>IFERROR(IF(AND(INDEX('Moms- och bokf grupp'!S:S, MATCH(INDEX(Produkter!E:E, MATCH(VALUE(LEFT(C52,FIND(" ",C52,1)-1)),Produkter!C:C,0)),'Moms- och bokf grupp'!B:B,0))="x",P52=""),1,
IF(AND(INDEX('Moms- och bokf grupp'!T:T, MATCH(INDEX(Produkter!E:E, MATCH(VALUE(LEFT(C52,FIND(" ",C52,1)-1)),Produkter!C:C,0)),'Moms- och bokf grupp'!B:B,0))="x",Q52=""),1,
IF(AND(INDEX('Moms- och bokf grupp'!U:U, MATCH(INDEX(Produkter!E:E, MATCH(VALUE(LEFT(C52,FIND(" ",C52,1)-1)),Produkter!C:C,0)),'Moms- och bokf grupp'!B:B,0))="x",R52=""),1,
IF(AND(INDEX('Moms- och bokf grupp'!V:V, MATCH(INDEX(Produkter!E:E, MATCH(VALUE(LEFT(C52,FIND(" ",C52,1)-1)),Produkter!C:C,0)),'Moms- och bokf grupp'!B:B,0))="x",S52=""),1,
IF(AND(INDEX('Moms- och bokf grupp'!W:W, MATCH(INDEX(Produkter!E:E, MATCH(VALUE(LEFT(C52,FIND(" ",C52,1)-1)),Produkter!C:C,0)),'Moms- och bokf grupp'!B:B,0))="x",T52=""),1,
""))))),"")</f>
        <v/>
      </c>
      <c r="AD52" s="151" t="str">
        <f>IF(OR(L52=0,L52=""),"",MAX($AD$22:AD51)+1)</f>
        <v/>
      </c>
      <c r="AE52" s="149" t="str">
        <f t="shared" si="0"/>
        <v/>
      </c>
    </row>
    <row r="53" spans="3:31" s="101" customFormat="1">
      <c r="C53" s="398"/>
      <c r="D53" s="399"/>
      <c r="E53" s="400"/>
      <c r="F53" s="401"/>
      <c r="G53" s="401"/>
      <c r="H53" s="402"/>
      <c r="I53" s="96" t="str">
        <f>IFERROR(INDEX('Moms- och bokf grupp'!Q:Q,
MATCH(INDEX(Produkter!E:E,
MATCH(VALUE(LEFT(C53,FIND(" ",C53,1)-1)),Produkter!C:C,0)),'Moms- och bokf grupp'!B:B,0)),"")</f>
        <v/>
      </c>
      <c r="J53" s="96"/>
      <c r="K53" s="96"/>
      <c r="L53" s="96"/>
      <c r="M53" s="96" t="str">
        <f>IF(C53="T Text","",IFERROR(IF(J53="","",L53+(L53*(
INDEX(Moms!C:C,MATCH(I53,Moms!A:A,0))/100))),"Produktnr saknas"))</f>
        <v/>
      </c>
      <c r="O53" s="96"/>
      <c r="P53" s="96"/>
      <c r="Q53" s="96"/>
      <c r="R53" s="96"/>
      <c r="S53" s="96"/>
      <c r="T53" s="96"/>
      <c r="V53" s="98"/>
      <c r="W53" s="98"/>
      <c r="X53" s="98"/>
      <c r="Y53" s="98"/>
      <c r="Z53" s="98"/>
      <c r="AA53" s="98"/>
      <c r="AB53" s="170" t="str">
        <f>IFERROR(IF(AND(INDEX('Moms- och bokf grupp'!S:S, MATCH(INDEX(Produkter!E:E, MATCH(VALUE(LEFT(C53,FIND(" ",C53,1)-1)),Produkter!C:C,0)),'Moms- och bokf grupp'!B:B,0))="x",P53=""),1,
IF(AND(INDEX('Moms- och bokf grupp'!T:T, MATCH(INDEX(Produkter!E:E, MATCH(VALUE(LEFT(C53,FIND(" ",C53,1)-1)),Produkter!C:C,0)),'Moms- och bokf grupp'!B:B,0))="x",Q53=""),1,
IF(AND(INDEX('Moms- och bokf grupp'!U:U, MATCH(INDEX(Produkter!E:E, MATCH(VALUE(LEFT(C53,FIND(" ",C53,1)-1)),Produkter!C:C,0)),'Moms- och bokf grupp'!B:B,0))="x",R53=""),1,
IF(AND(INDEX('Moms- och bokf grupp'!V:V, MATCH(INDEX(Produkter!E:E, MATCH(VALUE(LEFT(C53,FIND(" ",C53,1)-1)),Produkter!C:C,0)),'Moms- och bokf grupp'!B:B,0))="x",S53=""),1,
IF(AND(INDEX('Moms- och bokf grupp'!W:W, MATCH(INDEX(Produkter!E:E, MATCH(VALUE(LEFT(C53,FIND(" ",C53,1)-1)),Produkter!C:C,0)),'Moms- och bokf grupp'!B:B,0))="x",T53=""),1,
""))))),"")</f>
        <v/>
      </c>
      <c r="AD53" s="151" t="str">
        <f>IF(OR(L53=0,L53=""),"",MAX($AD$22:AD52)+1)</f>
        <v/>
      </c>
      <c r="AE53" s="149" t="str">
        <f t="shared" si="0"/>
        <v/>
      </c>
    </row>
    <row r="54" spans="3:31" s="101" customFormat="1">
      <c r="C54" s="398"/>
      <c r="D54" s="399"/>
      <c r="E54" s="400"/>
      <c r="F54" s="401"/>
      <c r="G54" s="401"/>
      <c r="H54" s="402"/>
      <c r="I54" s="96" t="str">
        <f>IFERROR(INDEX('Moms- och bokf grupp'!Q:Q,
MATCH(INDEX(Produkter!E:E,
MATCH(VALUE(LEFT(C54,FIND(" ",C54,1)-1)),Produkter!C:C,0)),'Moms- och bokf grupp'!B:B,0)),"")</f>
        <v/>
      </c>
      <c r="J54" s="96"/>
      <c r="K54" s="96"/>
      <c r="L54" s="96"/>
      <c r="M54" s="96" t="str">
        <f>IF(C54="T Text","",IFERROR(IF(J54="","",L54+(L54*(
INDEX(Moms!C:C,MATCH(I54,Moms!A:A,0))/100))),"Produktnr saknas"))</f>
        <v/>
      </c>
      <c r="O54" s="96"/>
      <c r="P54" s="96"/>
      <c r="Q54" s="96"/>
      <c r="R54" s="96"/>
      <c r="S54" s="96"/>
      <c r="T54" s="96"/>
      <c r="V54" s="98"/>
      <c r="W54" s="98"/>
      <c r="X54" s="98"/>
      <c r="Y54" s="98"/>
      <c r="Z54" s="98"/>
      <c r="AA54" s="98"/>
      <c r="AB54" s="170" t="str">
        <f>IFERROR(IF(AND(INDEX('Moms- och bokf grupp'!S:S, MATCH(INDEX(Produkter!E:E, MATCH(VALUE(LEFT(C54,FIND(" ",C54,1)-1)),Produkter!C:C,0)),'Moms- och bokf grupp'!B:B,0))="x",P54=""),1,
IF(AND(INDEX('Moms- och bokf grupp'!T:T, MATCH(INDEX(Produkter!E:E, MATCH(VALUE(LEFT(C54,FIND(" ",C54,1)-1)),Produkter!C:C,0)),'Moms- och bokf grupp'!B:B,0))="x",Q54=""),1,
IF(AND(INDEX('Moms- och bokf grupp'!U:U, MATCH(INDEX(Produkter!E:E, MATCH(VALUE(LEFT(C54,FIND(" ",C54,1)-1)),Produkter!C:C,0)),'Moms- och bokf grupp'!B:B,0))="x",R54=""),1,
IF(AND(INDEX('Moms- och bokf grupp'!V:V, MATCH(INDEX(Produkter!E:E, MATCH(VALUE(LEFT(C54,FIND(" ",C54,1)-1)),Produkter!C:C,0)),'Moms- och bokf grupp'!B:B,0))="x",S54=""),1,
IF(AND(INDEX('Moms- och bokf grupp'!W:W, MATCH(INDEX(Produkter!E:E, MATCH(VALUE(LEFT(C54,FIND(" ",C54,1)-1)),Produkter!C:C,0)),'Moms- och bokf grupp'!B:B,0))="x",T54=""),1,
""))))),"")</f>
        <v/>
      </c>
      <c r="AD54" s="151" t="str">
        <f>IF(OR(L54=0,L54=""),"",MAX($AD$22:AD53)+1)</f>
        <v/>
      </c>
      <c r="AE54" s="149" t="str">
        <f t="shared" si="0"/>
        <v/>
      </c>
    </row>
    <row r="55" spans="3:31" s="101" customFormat="1">
      <c r="C55" s="398"/>
      <c r="D55" s="399"/>
      <c r="E55" s="400"/>
      <c r="F55" s="401"/>
      <c r="G55" s="401"/>
      <c r="H55" s="402"/>
      <c r="I55" s="96" t="str">
        <f>IFERROR(INDEX('Moms- och bokf grupp'!Q:Q,
MATCH(INDEX(Produkter!E:E,
MATCH(VALUE(LEFT(C55,FIND(" ",C55,1)-1)),Produkter!C:C,0)),'Moms- och bokf grupp'!B:B,0)),"")</f>
        <v/>
      </c>
      <c r="J55" s="96"/>
      <c r="K55" s="96"/>
      <c r="L55" s="96"/>
      <c r="M55" s="96" t="str">
        <f>IF(C55="T Text","",IFERROR(IF(J55="","",L55+(L55*(
INDEX(Moms!C:C,MATCH(I55,Moms!A:A,0))/100))),"Produktnr saknas"))</f>
        <v/>
      </c>
      <c r="O55" s="96"/>
      <c r="P55" s="96"/>
      <c r="Q55" s="96"/>
      <c r="R55" s="96"/>
      <c r="S55" s="96"/>
      <c r="T55" s="96"/>
      <c r="V55" s="98"/>
      <c r="W55" s="98"/>
      <c r="X55" s="98"/>
      <c r="Y55" s="98"/>
      <c r="Z55" s="98"/>
      <c r="AA55" s="98"/>
      <c r="AB55" s="170" t="str">
        <f>IFERROR(IF(AND(INDEX('Moms- och bokf grupp'!S:S, MATCH(INDEX(Produkter!E:E, MATCH(VALUE(LEFT(C55,FIND(" ",C55,1)-1)),Produkter!C:C,0)),'Moms- och bokf grupp'!B:B,0))="x",P55=""),1,
IF(AND(INDEX('Moms- och bokf grupp'!T:T, MATCH(INDEX(Produkter!E:E, MATCH(VALUE(LEFT(C55,FIND(" ",C55,1)-1)),Produkter!C:C,0)),'Moms- och bokf grupp'!B:B,0))="x",Q55=""),1,
IF(AND(INDEX('Moms- och bokf grupp'!U:U, MATCH(INDEX(Produkter!E:E, MATCH(VALUE(LEFT(C55,FIND(" ",C55,1)-1)),Produkter!C:C,0)),'Moms- och bokf grupp'!B:B,0))="x",R55=""),1,
IF(AND(INDEX('Moms- och bokf grupp'!V:V, MATCH(INDEX(Produkter!E:E, MATCH(VALUE(LEFT(C55,FIND(" ",C55,1)-1)),Produkter!C:C,0)),'Moms- och bokf grupp'!B:B,0))="x",S55=""),1,
IF(AND(INDEX('Moms- och bokf grupp'!W:W, MATCH(INDEX(Produkter!E:E, MATCH(VALUE(LEFT(C55,FIND(" ",C55,1)-1)),Produkter!C:C,0)),'Moms- och bokf grupp'!B:B,0))="x",T55=""),1,
""))))),"")</f>
        <v/>
      </c>
      <c r="AD55" s="151" t="str">
        <f>IF(OR(L55=0,L55=""),"",MAX($AD$22:AD54)+1)</f>
        <v/>
      </c>
      <c r="AE55" s="149" t="str">
        <f t="shared" si="0"/>
        <v/>
      </c>
    </row>
    <row r="56" spans="3:31" s="101" customFormat="1">
      <c r="C56" s="398"/>
      <c r="D56" s="399"/>
      <c r="E56" s="400"/>
      <c r="F56" s="401"/>
      <c r="G56" s="401"/>
      <c r="H56" s="402"/>
      <c r="I56" s="96" t="str">
        <f>IFERROR(INDEX('Moms- och bokf grupp'!Q:Q,
MATCH(INDEX(Produkter!E:E,
MATCH(VALUE(LEFT(C56,FIND(" ",C56,1)-1)),Produkter!C:C,0)),'Moms- och bokf grupp'!B:B,0)),"")</f>
        <v/>
      </c>
      <c r="J56" s="96"/>
      <c r="K56" s="96"/>
      <c r="L56" s="96"/>
      <c r="M56" s="96" t="str">
        <f>IF(C56="T Text","",IFERROR(IF(J56="","",L56+(L56*(
INDEX(Moms!C:C,MATCH(I56,Moms!A:A,0))/100))),"Produktnr saknas"))</f>
        <v/>
      </c>
      <c r="O56" s="96"/>
      <c r="P56" s="96"/>
      <c r="Q56" s="96"/>
      <c r="R56" s="96"/>
      <c r="S56" s="96"/>
      <c r="T56" s="96"/>
      <c r="V56" s="98"/>
      <c r="W56" s="98"/>
      <c r="X56" s="98"/>
      <c r="Y56" s="98"/>
      <c r="Z56" s="98"/>
      <c r="AA56" s="98"/>
      <c r="AB56" s="170" t="str">
        <f>IFERROR(IF(AND(INDEX('Moms- och bokf grupp'!S:S, MATCH(INDEX(Produkter!E:E, MATCH(VALUE(LEFT(C56,FIND(" ",C56,1)-1)),Produkter!C:C,0)),'Moms- och bokf grupp'!B:B,0))="x",P56=""),1,
IF(AND(INDEX('Moms- och bokf grupp'!T:T, MATCH(INDEX(Produkter!E:E, MATCH(VALUE(LEFT(C56,FIND(" ",C56,1)-1)),Produkter!C:C,0)),'Moms- och bokf grupp'!B:B,0))="x",Q56=""),1,
IF(AND(INDEX('Moms- och bokf grupp'!U:U, MATCH(INDEX(Produkter!E:E, MATCH(VALUE(LEFT(C56,FIND(" ",C56,1)-1)),Produkter!C:C,0)),'Moms- och bokf grupp'!B:B,0))="x",R56=""),1,
IF(AND(INDEX('Moms- och bokf grupp'!V:V, MATCH(INDEX(Produkter!E:E, MATCH(VALUE(LEFT(C56,FIND(" ",C56,1)-1)),Produkter!C:C,0)),'Moms- och bokf grupp'!B:B,0))="x",S56=""),1,
IF(AND(INDEX('Moms- och bokf grupp'!W:W, MATCH(INDEX(Produkter!E:E, MATCH(VALUE(LEFT(C56,FIND(" ",C56,1)-1)),Produkter!C:C,0)),'Moms- och bokf grupp'!B:B,0))="x",T56=""),1,
""))))),"")</f>
        <v/>
      </c>
      <c r="AD56" s="151" t="str">
        <f>IF(OR(L56=0,L56=""),"",MAX($AD$22:AD55)+1)</f>
        <v/>
      </c>
      <c r="AE56" s="149" t="str">
        <f t="shared" si="0"/>
        <v/>
      </c>
    </row>
    <row r="57" spans="3:31" s="101" customFormat="1">
      <c r="C57" s="398"/>
      <c r="D57" s="399"/>
      <c r="E57" s="400"/>
      <c r="F57" s="401"/>
      <c r="G57" s="401"/>
      <c r="H57" s="402"/>
      <c r="I57" s="96" t="str">
        <f>IFERROR(INDEX('Moms- och bokf grupp'!Q:Q,
MATCH(INDEX(Produkter!E:E,
MATCH(VALUE(LEFT(C57,FIND(" ",C57,1)-1)),Produkter!C:C,0)),'Moms- och bokf grupp'!B:B,0)),"")</f>
        <v/>
      </c>
      <c r="J57" s="96"/>
      <c r="K57" s="96"/>
      <c r="L57" s="96"/>
      <c r="M57" s="96" t="str">
        <f>IF(C57="T Text","",IFERROR(IF(J57="","",L57+(L57*(
INDEX(Moms!C:C,MATCH(I57,Moms!A:A,0))/100))),"Produktnr saknas"))</f>
        <v/>
      </c>
      <c r="O57" s="96"/>
      <c r="P57" s="96"/>
      <c r="Q57" s="96"/>
      <c r="R57" s="96"/>
      <c r="S57" s="96"/>
      <c r="T57" s="96"/>
      <c r="V57" s="98"/>
      <c r="W57" s="98"/>
      <c r="X57" s="98"/>
      <c r="Y57" s="98"/>
      <c r="Z57" s="98"/>
      <c r="AA57" s="98"/>
      <c r="AB57" s="170" t="str">
        <f>IFERROR(IF(AND(INDEX('Moms- och bokf grupp'!S:S, MATCH(INDEX(Produkter!E:E, MATCH(VALUE(LEFT(C57,FIND(" ",C57,1)-1)),Produkter!C:C,0)),'Moms- och bokf grupp'!B:B,0))="x",P57=""),1,
IF(AND(INDEX('Moms- och bokf grupp'!T:T, MATCH(INDEX(Produkter!E:E, MATCH(VALUE(LEFT(C57,FIND(" ",C57,1)-1)),Produkter!C:C,0)),'Moms- och bokf grupp'!B:B,0))="x",Q57=""),1,
IF(AND(INDEX('Moms- och bokf grupp'!U:U, MATCH(INDEX(Produkter!E:E, MATCH(VALUE(LEFT(C57,FIND(" ",C57,1)-1)),Produkter!C:C,0)),'Moms- och bokf grupp'!B:B,0))="x",R57=""),1,
IF(AND(INDEX('Moms- och bokf grupp'!V:V, MATCH(INDEX(Produkter!E:E, MATCH(VALUE(LEFT(C57,FIND(" ",C57,1)-1)),Produkter!C:C,0)),'Moms- och bokf grupp'!B:B,0))="x",S57=""),1,
IF(AND(INDEX('Moms- och bokf grupp'!W:W, MATCH(INDEX(Produkter!E:E, MATCH(VALUE(LEFT(C57,FIND(" ",C57,1)-1)),Produkter!C:C,0)),'Moms- och bokf grupp'!B:B,0))="x",T57=""),1,
""))))),"")</f>
        <v/>
      </c>
      <c r="AD57" s="151" t="str">
        <f>IF(OR(L57=0,L57=""),"",MAX($AD$22:AD56)+1)</f>
        <v/>
      </c>
      <c r="AE57" s="149" t="str">
        <f t="shared" si="0"/>
        <v/>
      </c>
    </row>
    <row r="58" spans="3:31" s="101" customFormat="1">
      <c r="C58" s="398"/>
      <c r="D58" s="399"/>
      <c r="E58" s="400"/>
      <c r="F58" s="401"/>
      <c r="G58" s="401"/>
      <c r="H58" s="402"/>
      <c r="I58" s="96" t="str">
        <f>IFERROR(INDEX('Moms- och bokf grupp'!Q:Q,
MATCH(INDEX(Produkter!E:E,
MATCH(VALUE(LEFT(C58,FIND(" ",C58,1)-1)),Produkter!C:C,0)),'Moms- och bokf grupp'!B:B,0)),"")</f>
        <v/>
      </c>
      <c r="J58" s="96"/>
      <c r="K58" s="96"/>
      <c r="L58" s="96"/>
      <c r="M58" s="96" t="str">
        <f>IF(C58="T Text","",IFERROR(IF(J58="","",L58+(L58*(
INDEX(Moms!C:C,MATCH(I58,Moms!A:A,0))/100))),"Produktnr saknas"))</f>
        <v/>
      </c>
      <c r="O58" s="96"/>
      <c r="P58" s="96"/>
      <c r="Q58" s="96"/>
      <c r="R58" s="96"/>
      <c r="S58" s="96"/>
      <c r="T58" s="96"/>
      <c r="V58" s="98"/>
      <c r="W58" s="98"/>
      <c r="X58" s="98"/>
      <c r="Y58" s="98"/>
      <c r="Z58" s="98"/>
      <c r="AA58" s="98"/>
      <c r="AB58" s="170" t="str">
        <f>IFERROR(IF(AND(INDEX('Moms- och bokf grupp'!S:S, MATCH(INDEX(Produkter!E:E, MATCH(VALUE(LEFT(C58,FIND(" ",C58,1)-1)),Produkter!C:C,0)),'Moms- och bokf grupp'!B:B,0))="x",P58=""),1,
IF(AND(INDEX('Moms- och bokf grupp'!T:T, MATCH(INDEX(Produkter!E:E, MATCH(VALUE(LEFT(C58,FIND(" ",C58,1)-1)),Produkter!C:C,0)),'Moms- och bokf grupp'!B:B,0))="x",Q58=""),1,
IF(AND(INDEX('Moms- och bokf grupp'!U:U, MATCH(INDEX(Produkter!E:E, MATCH(VALUE(LEFT(C58,FIND(" ",C58,1)-1)),Produkter!C:C,0)),'Moms- och bokf grupp'!B:B,0))="x",R58=""),1,
IF(AND(INDEX('Moms- och bokf grupp'!V:V, MATCH(INDEX(Produkter!E:E, MATCH(VALUE(LEFT(C58,FIND(" ",C58,1)-1)),Produkter!C:C,0)),'Moms- och bokf grupp'!B:B,0))="x",S58=""),1,
IF(AND(INDEX('Moms- och bokf grupp'!W:W, MATCH(INDEX(Produkter!E:E, MATCH(VALUE(LEFT(C58,FIND(" ",C58,1)-1)),Produkter!C:C,0)),'Moms- och bokf grupp'!B:B,0))="x",T58=""),1,
""))))),"")</f>
        <v/>
      </c>
      <c r="AD58" s="151" t="str">
        <f>IF(OR(L58=0,L58=""),"",MAX($AD$22:AD57)+1)</f>
        <v/>
      </c>
      <c r="AE58" s="149" t="str">
        <f t="shared" si="0"/>
        <v/>
      </c>
    </row>
    <row r="59" spans="3:31" s="101" customFormat="1">
      <c r="C59" s="398"/>
      <c r="D59" s="399"/>
      <c r="E59" s="400"/>
      <c r="F59" s="401"/>
      <c r="G59" s="401"/>
      <c r="H59" s="402"/>
      <c r="I59" s="96" t="str">
        <f>IFERROR(INDEX('Moms- och bokf grupp'!Q:Q,
MATCH(INDEX(Produkter!E:E,
MATCH(VALUE(LEFT(C59,FIND(" ",C59,1)-1)),Produkter!C:C,0)),'Moms- och bokf grupp'!B:B,0)),"")</f>
        <v/>
      </c>
      <c r="J59" s="96"/>
      <c r="K59" s="96"/>
      <c r="L59" s="96"/>
      <c r="M59" s="96" t="str">
        <f>IF(C59="T Text","",IFERROR(IF(J59="","",L59+(L59*(
INDEX(Moms!C:C,MATCH(I59,Moms!A:A,0))/100))),"Produktnr saknas"))</f>
        <v/>
      </c>
      <c r="O59" s="96"/>
      <c r="P59" s="96"/>
      <c r="Q59" s="96"/>
      <c r="R59" s="96"/>
      <c r="S59" s="96"/>
      <c r="T59" s="96"/>
      <c r="V59" s="98"/>
      <c r="W59" s="98"/>
      <c r="X59" s="98"/>
      <c r="Y59" s="98"/>
      <c r="Z59" s="98"/>
      <c r="AA59" s="98"/>
      <c r="AB59" s="170" t="str">
        <f>IFERROR(IF(AND(INDEX('Moms- och bokf grupp'!S:S, MATCH(INDEX(Produkter!E:E, MATCH(VALUE(LEFT(C59,FIND(" ",C59,1)-1)),Produkter!C:C,0)),'Moms- och bokf grupp'!B:B,0))="x",P59=""),1,
IF(AND(INDEX('Moms- och bokf grupp'!T:T, MATCH(INDEX(Produkter!E:E, MATCH(VALUE(LEFT(C59,FIND(" ",C59,1)-1)),Produkter!C:C,0)),'Moms- och bokf grupp'!B:B,0))="x",Q59=""),1,
IF(AND(INDEX('Moms- och bokf grupp'!U:U, MATCH(INDEX(Produkter!E:E, MATCH(VALUE(LEFT(C59,FIND(" ",C59,1)-1)),Produkter!C:C,0)),'Moms- och bokf grupp'!B:B,0))="x",R59=""),1,
IF(AND(INDEX('Moms- och bokf grupp'!V:V, MATCH(INDEX(Produkter!E:E, MATCH(VALUE(LEFT(C59,FIND(" ",C59,1)-1)),Produkter!C:C,0)),'Moms- och bokf grupp'!B:B,0))="x",S59=""),1,
IF(AND(INDEX('Moms- och bokf grupp'!W:W, MATCH(INDEX(Produkter!E:E, MATCH(VALUE(LEFT(C59,FIND(" ",C59,1)-1)),Produkter!C:C,0)),'Moms- och bokf grupp'!B:B,0))="x",T59=""),1,
""))))),"")</f>
        <v/>
      </c>
      <c r="AD59" s="151" t="str">
        <f>IF(OR(L59=0,L59=""),"",MAX($AD$22:AD58)+1)</f>
        <v/>
      </c>
      <c r="AE59" s="149" t="str">
        <f t="shared" si="0"/>
        <v/>
      </c>
    </row>
    <row r="60" spans="3:31" s="101" customFormat="1">
      <c r="C60" s="398"/>
      <c r="D60" s="399"/>
      <c r="E60" s="400"/>
      <c r="F60" s="401"/>
      <c r="G60" s="401"/>
      <c r="H60" s="402"/>
      <c r="I60" s="96" t="str">
        <f>IFERROR(INDEX('Moms- och bokf grupp'!Q:Q,
MATCH(INDEX(Produkter!E:E,
MATCH(VALUE(LEFT(C60,FIND(" ",C60,1)-1)),Produkter!C:C,0)),'Moms- och bokf grupp'!B:B,0)),"")</f>
        <v/>
      </c>
      <c r="J60" s="96"/>
      <c r="K60" s="96"/>
      <c r="L60" s="96"/>
      <c r="M60" s="96" t="str">
        <f>IF(C60="T Text","",IFERROR(IF(J60="","",L60+(L60*(
INDEX(Moms!C:C,MATCH(I60,Moms!A:A,0))/100))),"Produktnr saknas"))</f>
        <v/>
      </c>
      <c r="O60" s="96"/>
      <c r="P60" s="96"/>
      <c r="Q60" s="96"/>
      <c r="R60" s="96"/>
      <c r="S60" s="96"/>
      <c r="T60" s="96"/>
      <c r="V60" s="98"/>
      <c r="W60" s="98"/>
      <c r="X60" s="98"/>
      <c r="Y60" s="98"/>
      <c r="Z60" s="98"/>
      <c r="AA60" s="98"/>
      <c r="AB60" s="170" t="str">
        <f>IFERROR(IF(AND(INDEX('Moms- och bokf grupp'!S:S, MATCH(INDEX(Produkter!E:E, MATCH(VALUE(LEFT(C60,FIND(" ",C60,1)-1)),Produkter!C:C,0)),'Moms- och bokf grupp'!B:B,0))="x",P60=""),1,
IF(AND(INDEX('Moms- och bokf grupp'!T:T, MATCH(INDEX(Produkter!E:E, MATCH(VALUE(LEFT(C60,FIND(" ",C60,1)-1)),Produkter!C:C,0)),'Moms- och bokf grupp'!B:B,0))="x",Q60=""),1,
IF(AND(INDEX('Moms- och bokf grupp'!U:U, MATCH(INDEX(Produkter!E:E, MATCH(VALUE(LEFT(C60,FIND(" ",C60,1)-1)),Produkter!C:C,0)),'Moms- och bokf grupp'!B:B,0))="x",R60=""),1,
IF(AND(INDEX('Moms- och bokf grupp'!V:V, MATCH(INDEX(Produkter!E:E, MATCH(VALUE(LEFT(C60,FIND(" ",C60,1)-1)),Produkter!C:C,0)),'Moms- och bokf grupp'!B:B,0))="x",S60=""),1,
IF(AND(INDEX('Moms- och bokf grupp'!W:W, MATCH(INDEX(Produkter!E:E, MATCH(VALUE(LEFT(C60,FIND(" ",C60,1)-1)),Produkter!C:C,0)),'Moms- och bokf grupp'!B:B,0))="x",T60=""),1,
""))))),"")</f>
        <v/>
      </c>
      <c r="AD60" s="151" t="str">
        <f>IF(OR(L60=0,L60=""),"",MAX($AD$22:AD59)+1)</f>
        <v/>
      </c>
      <c r="AE60" s="149" t="str">
        <f t="shared" si="0"/>
        <v/>
      </c>
    </row>
    <row r="61" spans="3:31" s="101" customFormat="1">
      <c r="C61" s="398"/>
      <c r="D61" s="399"/>
      <c r="E61" s="400"/>
      <c r="F61" s="401"/>
      <c r="G61" s="401"/>
      <c r="H61" s="402"/>
      <c r="I61" s="96" t="str">
        <f>IFERROR(INDEX('Moms- och bokf grupp'!Q:Q,
MATCH(INDEX(Produkter!E:E,
MATCH(VALUE(LEFT(C61,FIND(" ",C61,1)-1)),Produkter!C:C,0)),'Moms- och bokf grupp'!B:B,0)),"")</f>
        <v/>
      </c>
      <c r="J61" s="96"/>
      <c r="K61" s="96"/>
      <c r="L61" s="96"/>
      <c r="M61" s="96" t="str">
        <f>IF(C61="T Text","",IFERROR(IF(J61="","",L61+(L61*(
INDEX(Moms!C:C,MATCH(I61,Moms!A:A,0))/100))),"Produktnr saknas"))</f>
        <v/>
      </c>
      <c r="O61" s="96"/>
      <c r="P61" s="96"/>
      <c r="Q61" s="96"/>
      <c r="R61" s="96"/>
      <c r="S61" s="96"/>
      <c r="T61" s="96"/>
      <c r="V61" s="98"/>
      <c r="W61" s="98"/>
      <c r="X61" s="98"/>
      <c r="Y61" s="98"/>
      <c r="Z61" s="98"/>
      <c r="AA61" s="98"/>
      <c r="AB61" s="170" t="str">
        <f>IFERROR(IF(AND(INDEX('Moms- och bokf grupp'!S:S, MATCH(INDEX(Produkter!E:E, MATCH(VALUE(LEFT(C61,FIND(" ",C61,1)-1)),Produkter!C:C,0)),'Moms- och bokf grupp'!B:B,0))="x",P61=""),1,
IF(AND(INDEX('Moms- och bokf grupp'!T:T, MATCH(INDEX(Produkter!E:E, MATCH(VALUE(LEFT(C61,FIND(" ",C61,1)-1)),Produkter!C:C,0)),'Moms- och bokf grupp'!B:B,0))="x",Q61=""),1,
IF(AND(INDEX('Moms- och bokf grupp'!U:U, MATCH(INDEX(Produkter!E:E, MATCH(VALUE(LEFT(C61,FIND(" ",C61,1)-1)),Produkter!C:C,0)),'Moms- och bokf grupp'!B:B,0))="x",R61=""),1,
IF(AND(INDEX('Moms- och bokf grupp'!V:V, MATCH(INDEX(Produkter!E:E, MATCH(VALUE(LEFT(C61,FIND(" ",C61,1)-1)),Produkter!C:C,0)),'Moms- och bokf grupp'!B:B,0))="x",S61=""),1,
IF(AND(INDEX('Moms- och bokf grupp'!W:W, MATCH(INDEX(Produkter!E:E, MATCH(VALUE(LEFT(C61,FIND(" ",C61,1)-1)),Produkter!C:C,0)),'Moms- och bokf grupp'!B:B,0))="x",T61=""),1,
""))))),"")</f>
        <v/>
      </c>
      <c r="AD61" s="151" t="str">
        <f>IF(OR(L61=0,L61=""),"",MAX($AD$22:AD60)+1)</f>
        <v/>
      </c>
      <c r="AE61" s="149" t="str">
        <f t="shared" si="0"/>
        <v/>
      </c>
    </row>
    <row r="62" spans="3:31" s="101" customFormat="1">
      <c r="C62" s="398"/>
      <c r="D62" s="399"/>
      <c r="E62" s="400"/>
      <c r="F62" s="401"/>
      <c r="G62" s="401"/>
      <c r="H62" s="402"/>
      <c r="I62" s="96" t="str">
        <f>IFERROR(INDEX('Moms- och bokf grupp'!Q:Q,
MATCH(INDEX(Produkter!E:E,
MATCH(VALUE(LEFT(C62,FIND(" ",C62,1)-1)),Produkter!C:C,0)),'Moms- och bokf grupp'!B:B,0)),"")</f>
        <v/>
      </c>
      <c r="J62" s="96"/>
      <c r="K62" s="96"/>
      <c r="L62" s="96"/>
      <c r="M62" s="96" t="str">
        <f>IF(C62="T Text","",IFERROR(IF(J62="","",L62+(L62*(
INDEX(Moms!C:C,MATCH(I62,Moms!A:A,0))/100))),"Produktnr saknas"))</f>
        <v/>
      </c>
      <c r="O62" s="96"/>
      <c r="P62" s="96"/>
      <c r="Q62" s="96"/>
      <c r="R62" s="96"/>
      <c r="S62" s="96"/>
      <c r="T62" s="96"/>
      <c r="V62" s="98"/>
      <c r="W62" s="98"/>
      <c r="X62" s="98"/>
      <c r="Y62" s="98"/>
      <c r="Z62" s="98"/>
      <c r="AA62" s="98"/>
      <c r="AB62" s="170" t="str">
        <f>IFERROR(IF(AND(INDEX('Moms- och bokf grupp'!S:S, MATCH(INDEX(Produkter!E:E, MATCH(VALUE(LEFT(C62,FIND(" ",C62,1)-1)),Produkter!C:C,0)),'Moms- och bokf grupp'!B:B,0))="x",P62=""),1,
IF(AND(INDEX('Moms- och bokf grupp'!T:T, MATCH(INDEX(Produkter!E:E, MATCH(VALUE(LEFT(C62,FIND(" ",C62,1)-1)),Produkter!C:C,0)),'Moms- och bokf grupp'!B:B,0))="x",Q62=""),1,
IF(AND(INDEX('Moms- och bokf grupp'!U:U, MATCH(INDEX(Produkter!E:E, MATCH(VALUE(LEFT(C62,FIND(" ",C62,1)-1)),Produkter!C:C,0)),'Moms- och bokf grupp'!B:B,0))="x",R62=""),1,
IF(AND(INDEX('Moms- och bokf grupp'!V:V, MATCH(INDEX(Produkter!E:E, MATCH(VALUE(LEFT(C62,FIND(" ",C62,1)-1)),Produkter!C:C,0)),'Moms- och bokf grupp'!B:B,0))="x",S62=""),1,
IF(AND(INDEX('Moms- och bokf grupp'!W:W, MATCH(INDEX(Produkter!E:E, MATCH(VALUE(LEFT(C62,FIND(" ",C62,1)-1)),Produkter!C:C,0)),'Moms- och bokf grupp'!B:B,0))="x",T62=""),1,
""))))),"")</f>
        <v/>
      </c>
      <c r="AD62" s="151" t="str">
        <f>IF(OR(L62=0,L62=""),"",MAX($AD$22:AD61)+1)</f>
        <v/>
      </c>
      <c r="AE62" s="149" t="str">
        <f t="shared" si="0"/>
        <v/>
      </c>
    </row>
    <row r="63" spans="3:31" s="101" customFormat="1">
      <c r="C63" s="398"/>
      <c r="D63" s="399"/>
      <c r="E63" s="400"/>
      <c r="F63" s="401"/>
      <c r="G63" s="401"/>
      <c r="H63" s="402"/>
      <c r="I63" s="96" t="str">
        <f>IFERROR(INDEX('Moms- och bokf grupp'!Q:Q,
MATCH(INDEX(Produkter!E:E,
MATCH(VALUE(LEFT(C63,FIND(" ",C63,1)-1)),Produkter!C:C,0)),'Moms- och bokf grupp'!B:B,0)),"")</f>
        <v/>
      </c>
      <c r="J63" s="96"/>
      <c r="K63" s="96"/>
      <c r="L63" s="96"/>
      <c r="M63" s="96" t="str">
        <f>IF(C63="T Text","",IFERROR(IF(J63="","",L63+(L63*(
INDEX(Moms!C:C,MATCH(I63,Moms!A:A,0))/100))),"Produktnr saknas"))</f>
        <v/>
      </c>
      <c r="O63" s="96"/>
      <c r="P63" s="96"/>
      <c r="Q63" s="96"/>
      <c r="R63" s="96"/>
      <c r="S63" s="96"/>
      <c r="T63" s="96"/>
      <c r="V63" s="98"/>
      <c r="W63" s="98"/>
      <c r="X63" s="98"/>
      <c r="Y63" s="98"/>
      <c r="Z63" s="98"/>
      <c r="AA63" s="98"/>
      <c r="AB63" s="170" t="str">
        <f>IFERROR(IF(AND(INDEX('Moms- och bokf grupp'!S:S, MATCH(INDEX(Produkter!E:E, MATCH(VALUE(LEFT(C63,FIND(" ",C63,1)-1)),Produkter!C:C,0)),'Moms- och bokf grupp'!B:B,0))="x",P63=""),1,
IF(AND(INDEX('Moms- och bokf grupp'!T:T, MATCH(INDEX(Produkter!E:E, MATCH(VALUE(LEFT(C63,FIND(" ",C63,1)-1)),Produkter!C:C,0)),'Moms- och bokf grupp'!B:B,0))="x",Q63=""),1,
IF(AND(INDEX('Moms- och bokf grupp'!U:U, MATCH(INDEX(Produkter!E:E, MATCH(VALUE(LEFT(C63,FIND(" ",C63,1)-1)),Produkter!C:C,0)),'Moms- och bokf grupp'!B:B,0))="x",R63=""),1,
IF(AND(INDEX('Moms- och bokf grupp'!V:V, MATCH(INDEX(Produkter!E:E, MATCH(VALUE(LEFT(C63,FIND(" ",C63,1)-1)),Produkter!C:C,0)),'Moms- och bokf grupp'!B:B,0))="x",S63=""),1,
IF(AND(INDEX('Moms- och bokf grupp'!W:W, MATCH(INDEX(Produkter!E:E, MATCH(VALUE(LEFT(C63,FIND(" ",C63,1)-1)),Produkter!C:C,0)),'Moms- och bokf grupp'!B:B,0))="x",T63=""),1,
""))))),"")</f>
        <v/>
      </c>
      <c r="AD63" s="151" t="str">
        <f>IF(OR(L63=0,L63=""),"",MAX($AD$22:AD62)+1)</f>
        <v/>
      </c>
      <c r="AE63" s="149" t="str">
        <f t="shared" si="0"/>
        <v/>
      </c>
    </row>
    <row r="64" spans="3:31" s="101" customFormat="1">
      <c r="C64" s="398"/>
      <c r="D64" s="399"/>
      <c r="E64" s="400"/>
      <c r="F64" s="401"/>
      <c r="G64" s="401"/>
      <c r="H64" s="402"/>
      <c r="I64" s="96" t="str">
        <f>IFERROR(INDEX('Moms- och bokf grupp'!Q:Q,
MATCH(INDEX(Produkter!E:E,
MATCH(VALUE(LEFT(C64,FIND(" ",C64,1)-1)),Produkter!C:C,0)),'Moms- och bokf grupp'!B:B,0)),"")</f>
        <v/>
      </c>
      <c r="J64" s="96"/>
      <c r="K64" s="96"/>
      <c r="L64" s="96"/>
      <c r="M64" s="96" t="str">
        <f>IF(C64="T Text","",IFERROR(IF(J64="","",L64+(L64*(
INDEX(Moms!C:C,MATCH(I64,Moms!A:A,0))/100))),"Produktnr saknas"))</f>
        <v/>
      </c>
      <c r="O64" s="96"/>
      <c r="P64" s="96"/>
      <c r="Q64" s="96"/>
      <c r="R64" s="96"/>
      <c r="S64" s="96"/>
      <c r="T64" s="96"/>
      <c r="V64" s="98"/>
      <c r="W64" s="98"/>
      <c r="X64" s="98"/>
      <c r="Y64" s="98"/>
      <c r="Z64" s="98"/>
      <c r="AA64" s="98"/>
      <c r="AB64" s="170" t="str">
        <f>IFERROR(IF(AND(INDEX('Moms- och bokf grupp'!S:S, MATCH(INDEX(Produkter!E:E, MATCH(VALUE(LEFT(C64,FIND(" ",C64,1)-1)),Produkter!C:C,0)),'Moms- och bokf grupp'!B:B,0))="x",P64=""),1,
IF(AND(INDEX('Moms- och bokf grupp'!T:T, MATCH(INDEX(Produkter!E:E, MATCH(VALUE(LEFT(C64,FIND(" ",C64,1)-1)),Produkter!C:C,0)),'Moms- och bokf grupp'!B:B,0))="x",Q64=""),1,
IF(AND(INDEX('Moms- och bokf grupp'!U:U, MATCH(INDEX(Produkter!E:E, MATCH(VALUE(LEFT(C64,FIND(" ",C64,1)-1)),Produkter!C:C,0)),'Moms- och bokf grupp'!B:B,0))="x",R64=""),1,
IF(AND(INDEX('Moms- och bokf grupp'!V:V, MATCH(INDEX(Produkter!E:E, MATCH(VALUE(LEFT(C64,FIND(" ",C64,1)-1)),Produkter!C:C,0)),'Moms- och bokf grupp'!B:B,0))="x",S64=""),1,
IF(AND(INDEX('Moms- och bokf grupp'!W:W, MATCH(INDEX(Produkter!E:E, MATCH(VALUE(LEFT(C64,FIND(" ",C64,1)-1)),Produkter!C:C,0)),'Moms- och bokf grupp'!B:B,0))="x",T64=""),1,
""))))),"")</f>
        <v/>
      </c>
      <c r="AD64" s="151" t="str">
        <f>IF(OR(L64=0,L64=""),"",MAX($AD$22:AD63)+1)</f>
        <v/>
      </c>
      <c r="AE64" s="149" t="str">
        <f t="shared" si="0"/>
        <v/>
      </c>
    </row>
    <row r="65" spans="3:31" s="101" customFormat="1">
      <c r="C65" s="398"/>
      <c r="D65" s="399"/>
      <c r="E65" s="400"/>
      <c r="F65" s="401"/>
      <c r="G65" s="401"/>
      <c r="H65" s="402"/>
      <c r="I65" s="96" t="str">
        <f>IFERROR(INDEX('Moms- och bokf grupp'!Q:Q,
MATCH(INDEX(Produkter!E:E,
MATCH(VALUE(LEFT(C65,FIND(" ",C65,1)-1)),Produkter!C:C,0)),'Moms- och bokf grupp'!B:B,0)),"")</f>
        <v/>
      </c>
      <c r="J65" s="96"/>
      <c r="K65" s="96"/>
      <c r="L65" s="96"/>
      <c r="M65" s="96" t="str">
        <f>IF(C65="T Text","",IFERROR(IF(J65="","",L65+(L65*(
INDEX(Moms!C:C,MATCH(I65,Moms!A:A,0))/100))),"Produktnr saknas"))</f>
        <v/>
      </c>
      <c r="O65" s="96"/>
      <c r="P65" s="96"/>
      <c r="Q65" s="96"/>
      <c r="R65" s="96"/>
      <c r="S65" s="96"/>
      <c r="T65" s="96"/>
      <c r="V65" s="98"/>
      <c r="W65" s="98"/>
      <c r="X65" s="98"/>
      <c r="Y65" s="98"/>
      <c r="Z65" s="98"/>
      <c r="AA65" s="98"/>
      <c r="AB65" s="170" t="str">
        <f>IFERROR(IF(AND(INDEX('Moms- och bokf grupp'!S:S, MATCH(INDEX(Produkter!E:E, MATCH(VALUE(LEFT(C65,FIND(" ",C65,1)-1)),Produkter!C:C,0)),'Moms- och bokf grupp'!B:B,0))="x",P65=""),1,
IF(AND(INDEX('Moms- och bokf grupp'!T:T, MATCH(INDEX(Produkter!E:E, MATCH(VALUE(LEFT(C65,FIND(" ",C65,1)-1)),Produkter!C:C,0)),'Moms- och bokf grupp'!B:B,0))="x",Q65=""),1,
IF(AND(INDEX('Moms- och bokf grupp'!U:U, MATCH(INDEX(Produkter!E:E, MATCH(VALUE(LEFT(C65,FIND(" ",C65,1)-1)),Produkter!C:C,0)),'Moms- och bokf grupp'!B:B,0))="x",R65=""),1,
IF(AND(INDEX('Moms- och bokf grupp'!V:V, MATCH(INDEX(Produkter!E:E, MATCH(VALUE(LEFT(C65,FIND(" ",C65,1)-1)),Produkter!C:C,0)),'Moms- och bokf grupp'!B:B,0))="x",S65=""),1,
IF(AND(INDEX('Moms- och bokf grupp'!W:W, MATCH(INDEX(Produkter!E:E, MATCH(VALUE(LEFT(C65,FIND(" ",C65,1)-1)),Produkter!C:C,0)),'Moms- och bokf grupp'!B:B,0))="x",T65=""),1,
""))))),"")</f>
        <v/>
      </c>
      <c r="AD65" s="151" t="str">
        <f>IF(OR(L65=0,L65=""),"",MAX($AD$22:AD64)+1)</f>
        <v/>
      </c>
      <c r="AE65" s="149" t="str">
        <f t="shared" si="0"/>
        <v/>
      </c>
    </row>
    <row r="66" spans="3:31" s="101" customFormat="1" ht="21.75">
      <c r="C66" s="101" t="s">
        <v>478</v>
      </c>
      <c r="G66" s="101" t="s">
        <v>479</v>
      </c>
      <c r="K66" s="109" t="s">
        <v>480</v>
      </c>
      <c r="L66" s="118">
        <f>SUM(L23:L65)</f>
        <v>300</v>
      </c>
      <c r="M66" s="118">
        <f>IF(SUM(M23:M65)&gt;0,SUM(M23:M65),"")</f>
        <v>300</v>
      </c>
      <c r="AB66" s="105"/>
      <c r="AC66" s="105"/>
    </row>
    <row r="67" spans="3:31" s="101" customFormat="1" ht="11.25" customHeight="1">
      <c r="C67" s="112"/>
      <c r="D67" s="112"/>
      <c r="G67" s="113" t="s">
        <v>481</v>
      </c>
      <c r="AB67" s="105"/>
      <c r="AC67" s="105"/>
    </row>
    <row r="68" spans="3:31" s="101" customFormat="1" ht="21.75" customHeight="1">
      <c r="C68" s="388" t="str">
        <f>IF(Sammandrag!E10&gt;0,Sammandrag!E10,"")</f>
        <v/>
      </c>
      <c r="D68" s="389"/>
      <c r="G68" s="390"/>
      <c r="H68" s="391"/>
      <c r="AB68" s="105"/>
      <c r="AC68" s="105"/>
    </row>
    <row r="69" spans="3:31" s="101" customFormat="1" ht="24.75" customHeight="1">
      <c r="C69" s="114"/>
      <c r="G69" s="392" t="str">
        <f>IF(Q24&gt;0,VLOOKUP(Q24,Indata!K4:N41,4,0),"")</f>
        <v/>
      </c>
      <c r="H69" s="389"/>
      <c r="AB69" s="105"/>
      <c r="AC69" s="105"/>
    </row>
    <row r="70" spans="3:31" s="101" customFormat="1">
      <c r="G70" s="114" t="s">
        <v>482</v>
      </c>
      <c r="AB70" s="105"/>
      <c r="AC70" s="105"/>
    </row>
    <row r="71" spans="3:31" s="101" customFormat="1">
      <c r="AB71" s="105"/>
      <c r="AC71" s="105"/>
    </row>
    <row r="72" spans="3:31" s="101" customFormat="1">
      <c r="AB72" s="105"/>
      <c r="AC72" s="105"/>
    </row>
    <row r="73" spans="3:31" s="101" customFormat="1">
      <c r="AB73" s="105"/>
      <c r="AC73" s="105"/>
    </row>
    <row r="74" spans="3:31" s="101" customFormat="1">
      <c r="AB74" s="105"/>
      <c r="AC74" s="105"/>
    </row>
    <row r="75" spans="3:31" s="101" customFormat="1">
      <c r="AB75" s="105"/>
      <c r="AC75" s="105"/>
    </row>
  </sheetData>
  <sheetProtection algorithmName="SHA-512" hashValue="XMpeCfJ5y6mEyxFBEVhfBBh8YG744VyOkkOEh/SdgLr91DULWjz3qbWU/T373EI6aRXYJN8wg/mtevICctXRTw==" saltValue="JxZAvGnRdo4h4NTjym4+zw==" spinCount="100000" sheet="1" objects="1" scenarios="1" selectLockedCells="1"/>
  <mergeCells count="126">
    <mergeCell ref="V20:AA20"/>
    <mergeCell ref="O21:T21"/>
    <mergeCell ref="V21:AA21"/>
    <mergeCell ref="D16:E16"/>
    <mergeCell ref="D17:E17"/>
    <mergeCell ref="K17:O17"/>
    <mergeCell ref="C18:E18"/>
    <mergeCell ref="K18:O18"/>
    <mergeCell ref="G12:H12"/>
    <mergeCell ref="L2:M2"/>
    <mergeCell ref="N3:T3"/>
    <mergeCell ref="D4:E4"/>
    <mergeCell ref="G4:H4"/>
    <mergeCell ref="I4:J4"/>
    <mergeCell ref="D5:E5"/>
    <mergeCell ref="G5:H5"/>
    <mergeCell ref="I5:J5"/>
    <mergeCell ref="N5:T5"/>
    <mergeCell ref="E46:H46"/>
    <mergeCell ref="E31:H31"/>
    <mergeCell ref="C38:D38"/>
    <mergeCell ref="E38:H38"/>
    <mergeCell ref="C31:D31"/>
    <mergeCell ref="J11:L11"/>
    <mergeCell ref="C13:E13"/>
    <mergeCell ref="G13:H13"/>
    <mergeCell ref="G14:H14"/>
    <mergeCell ref="C25:D25"/>
    <mergeCell ref="C26:D26"/>
    <mergeCell ref="C27:D27"/>
    <mergeCell ref="C22:D22"/>
    <mergeCell ref="E22:H22"/>
    <mergeCell ref="C23:D23"/>
    <mergeCell ref="C14:E14"/>
    <mergeCell ref="C15:E15"/>
    <mergeCell ref="C44:D44"/>
    <mergeCell ref="E44:H44"/>
    <mergeCell ref="C45:D45"/>
    <mergeCell ref="C33:D33"/>
    <mergeCell ref="C34:D34"/>
    <mergeCell ref="C35:D35"/>
    <mergeCell ref="E34:H34"/>
    <mergeCell ref="G6:H6"/>
    <mergeCell ref="N6:T6"/>
    <mergeCell ref="G7:H7"/>
    <mergeCell ref="N7:T7"/>
    <mergeCell ref="D10:E10"/>
    <mergeCell ref="G10:H10"/>
    <mergeCell ref="J10:L10"/>
    <mergeCell ref="C24:D24"/>
    <mergeCell ref="C19:E19"/>
    <mergeCell ref="H19:J19"/>
    <mergeCell ref="P19:T19"/>
    <mergeCell ref="D11:E11"/>
    <mergeCell ref="G11:H11"/>
    <mergeCell ref="E35:H35"/>
    <mergeCell ref="E33:H33"/>
    <mergeCell ref="C30:D30"/>
    <mergeCell ref="C29:D29"/>
    <mergeCell ref="C32:D32"/>
    <mergeCell ref="E30:H30"/>
    <mergeCell ref="E29:H29"/>
    <mergeCell ref="E32:H32"/>
    <mergeCell ref="C28:D28"/>
    <mergeCell ref="C48:D48"/>
    <mergeCell ref="E48:H48"/>
    <mergeCell ref="C49:D49"/>
    <mergeCell ref="E49:H49"/>
    <mergeCell ref="C50:D50"/>
    <mergeCell ref="E50:H50"/>
    <mergeCell ref="C47:D47"/>
    <mergeCell ref="E47:H47"/>
    <mergeCell ref="C36:D36"/>
    <mergeCell ref="C37:D37"/>
    <mergeCell ref="E36:H36"/>
    <mergeCell ref="E37:H37"/>
    <mergeCell ref="E45:H45"/>
    <mergeCell ref="C39:D39"/>
    <mergeCell ref="E39:H39"/>
    <mergeCell ref="C40:D40"/>
    <mergeCell ref="E40:H40"/>
    <mergeCell ref="C41:D41"/>
    <mergeCell ref="E41:H41"/>
    <mergeCell ref="C42:D42"/>
    <mergeCell ref="E42:H42"/>
    <mergeCell ref="C43:D43"/>
    <mergeCell ref="E43:H43"/>
    <mergeCell ref="C46:D46"/>
    <mergeCell ref="C59:D59"/>
    <mergeCell ref="E59:H59"/>
    <mergeCell ref="C54:D54"/>
    <mergeCell ref="E54:H54"/>
    <mergeCell ref="C55:D55"/>
    <mergeCell ref="E55:H55"/>
    <mergeCell ref="C56:D56"/>
    <mergeCell ref="E56:H56"/>
    <mergeCell ref="C51:D51"/>
    <mergeCell ref="E51:H51"/>
    <mergeCell ref="C52:D52"/>
    <mergeCell ref="E52:H52"/>
    <mergeCell ref="C53:D53"/>
    <mergeCell ref="E53:H53"/>
    <mergeCell ref="C68:D68"/>
    <mergeCell ref="G68:H68"/>
    <mergeCell ref="G69:H69"/>
    <mergeCell ref="E23:H23"/>
    <mergeCell ref="E24:H24"/>
    <mergeCell ref="E26:H26"/>
    <mergeCell ref="E27:H27"/>
    <mergeCell ref="E28:H28"/>
    <mergeCell ref="C63:D63"/>
    <mergeCell ref="E63:H63"/>
    <mergeCell ref="C64:D64"/>
    <mergeCell ref="E64:H64"/>
    <mergeCell ref="C65:D65"/>
    <mergeCell ref="E65:H65"/>
    <mergeCell ref="C60:D60"/>
    <mergeCell ref="E60:H60"/>
    <mergeCell ref="C61:D61"/>
    <mergeCell ref="E61:H61"/>
    <mergeCell ref="C62:D62"/>
    <mergeCell ref="E62:H62"/>
    <mergeCell ref="C57:D57"/>
    <mergeCell ref="E57:H57"/>
    <mergeCell ref="C58:D58"/>
    <mergeCell ref="E58:H58"/>
  </mergeCells>
  <conditionalFormatting sqref="E46:E47 V46:AA47 J46:K49 L29:L30 V38:AA38 J32:L38 J23:K30 V28:Y29 Z28 Z23:AA24 Z25:Z26 Z27:AA27 Z29:AA30 AA25:AA30 M23:M65">
    <cfRule type="notContainsBlanks" dxfId="382" priority="931">
      <formula>LEN(TRIM(E23))&gt;0</formula>
    </cfRule>
    <cfRule type="containsBlanks" dxfId="381" priority="932">
      <formula>LEN(TRIM(E23))=0</formula>
    </cfRule>
  </conditionalFormatting>
  <conditionalFormatting sqref="C17">
    <cfRule type="notContainsBlanks" dxfId="380" priority="928">
      <formula>LEN(TRIM(C17))&gt;0</formula>
    </cfRule>
    <cfRule type="containsBlanks" dxfId="379" priority="929">
      <formula>LEN(TRIM(C17))=0</formula>
    </cfRule>
  </conditionalFormatting>
  <conditionalFormatting sqref="C14">
    <cfRule type="notContainsBlanks" dxfId="378" priority="926">
      <formula>LEN(TRIM(C14))&gt;0</formula>
    </cfRule>
    <cfRule type="containsBlanks" dxfId="377" priority="927">
      <formula>LEN(TRIM(C14))=0</formula>
    </cfRule>
  </conditionalFormatting>
  <conditionalFormatting sqref="I5:J5">
    <cfRule type="notContainsBlanks" dxfId="376" priority="914">
      <formula>LEN(TRIM(I5))&gt;0</formula>
    </cfRule>
    <cfRule type="containsBlanks" dxfId="375" priority="915">
      <formula>LEN(TRIM(I5))=0</formula>
    </cfRule>
  </conditionalFormatting>
  <conditionalFormatting sqref="C11">
    <cfRule type="notContainsBlanks" dxfId="374" priority="922">
      <formula>LEN(TRIM(C11))&gt;0</formula>
    </cfRule>
    <cfRule type="containsBlanks" dxfId="373" priority="923">
      <formula>LEN(TRIM(C11))=0</formula>
    </cfRule>
  </conditionalFormatting>
  <conditionalFormatting sqref="C5">
    <cfRule type="notContainsBlanks" dxfId="372" priority="916">
      <formula>LEN(TRIM(C5))&gt;0</formula>
    </cfRule>
    <cfRule type="containsBlanks" dxfId="371" priority="917">
      <formula>LEN(TRIM(C5))=0</formula>
    </cfRule>
  </conditionalFormatting>
  <conditionalFormatting sqref="G17">
    <cfRule type="notContainsBlanks" dxfId="370" priority="920">
      <formula>LEN(TRIM(G17))&gt;0</formula>
    </cfRule>
    <cfRule type="containsBlanks" dxfId="369" priority="921">
      <formula>LEN(TRIM(G17))=0</formula>
    </cfRule>
  </conditionalFormatting>
  <conditionalFormatting sqref="G19">
    <cfRule type="notContainsBlanks" dxfId="368" priority="918">
      <formula>LEN(TRIM(G19))&gt;0</formula>
    </cfRule>
    <cfRule type="containsBlanks" dxfId="367" priority="919">
      <formula>LEN(TRIM(G19))=0</formula>
    </cfRule>
  </conditionalFormatting>
  <conditionalFormatting sqref="G11">
    <cfRule type="notContainsBlanks" dxfId="366" priority="903">
      <formula>LEN(TRIM(G11))&gt;0</formula>
    </cfRule>
    <cfRule type="containsBlanks" dxfId="365" priority="904">
      <formula>LEN(TRIM(G11))=0</formula>
    </cfRule>
  </conditionalFormatting>
  <conditionalFormatting sqref="D17:E17">
    <cfRule type="notContainsBlanks" dxfId="364" priority="906">
      <formula>LEN(TRIM(D17))&gt;0</formula>
    </cfRule>
    <cfRule type="containsBlanks" dxfId="363" priority="907">
      <formula>LEN(TRIM(D17))=0</formula>
    </cfRule>
  </conditionalFormatting>
  <conditionalFormatting sqref="L5">
    <cfRule type="notContainsBlanks" dxfId="362" priority="910">
      <formula>LEN(TRIM(L5))&gt;0</formula>
    </cfRule>
    <cfRule type="containsBlanks" dxfId="361" priority="911">
      <formula>LEN(TRIM(L5))=0</formula>
    </cfRule>
  </conditionalFormatting>
  <conditionalFormatting sqref="C3">
    <cfRule type="notContainsBlanks" dxfId="360" priority="912">
      <formula>LEN(TRIM(C3))&gt;0</formula>
    </cfRule>
    <cfRule type="containsBlanks" dxfId="359" priority="913">
      <formula>LEN(TRIM(C3))=0</formula>
    </cfRule>
  </conditionalFormatting>
  <conditionalFormatting sqref="D5:E5">
    <cfRule type="notContainsBlanks" dxfId="358" priority="905">
      <formula>LEN(TRIM(D5))&gt;0</formula>
    </cfRule>
  </conditionalFormatting>
  <conditionalFormatting sqref="J32:K37 J23:K30">
    <cfRule type="expression" dxfId="357" priority="895">
      <formula>AND(#REF!&lt;&gt;"",#REF!&lt;&gt;"T Text")</formula>
    </cfRule>
  </conditionalFormatting>
  <conditionalFormatting sqref="G7:H7">
    <cfRule type="notContainsBlanks" dxfId="356" priority="893">
      <formula>LEN(TRIM(G7))&gt;0</formula>
    </cfRule>
    <cfRule type="containsBlanks" dxfId="355" priority="894">
      <formula>LEN(TRIM(G7))=0</formula>
    </cfRule>
  </conditionalFormatting>
  <conditionalFormatting sqref="G14">
    <cfRule type="notContainsBlanks" dxfId="354" priority="891">
      <formula>LEN(TRIM(G14))&gt;0</formula>
    </cfRule>
    <cfRule type="containsBlanks" dxfId="353" priority="892">
      <formula>LEN(TRIM(G14))=0</formula>
    </cfRule>
  </conditionalFormatting>
  <conditionalFormatting sqref="C19:E19">
    <cfRule type="notContainsBlanks" dxfId="352" priority="887">
      <formula>LEN(TRIM(C19))&gt;0</formula>
    </cfRule>
    <cfRule type="containsBlanks" dxfId="351" priority="888">
      <formula>LEN(TRIM(C19))=0</formula>
    </cfRule>
  </conditionalFormatting>
  <conditionalFormatting sqref="V23:Y24 V30:Y30 W25:Y30">
    <cfRule type="notContainsBlanks" dxfId="350" priority="881">
      <formula>LEN(TRIM(V23))&gt;0</formula>
    </cfRule>
    <cfRule type="containsBlanks" dxfId="349" priority="882">
      <formula>LEN(TRIM(V23))=0</formula>
    </cfRule>
  </conditionalFormatting>
  <conditionalFormatting sqref="J14">
    <cfRule type="notContainsBlanks" dxfId="348" priority="877">
      <formula>LEN(TRIM(J14))&gt;0</formula>
    </cfRule>
    <cfRule type="containsBlanks" dxfId="347" priority="878">
      <formula>LEN(TRIM(J14))=0</formula>
    </cfRule>
  </conditionalFormatting>
  <conditionalFormatting sqref="V25:Y27">
    <cfRule type="notContainsBlanks" dxfId="346" priority="865">
      <formula>LEN(TRIM(V25))&gt;0</formula>
    </cfRule>
    <cfRule type="containsBlanks" dxfId="345" priority="866">
      <formula>LEN(TRIM(V25))=0</formula>
    </cfRule>
  </conditionalFormatting>
  <conditionalFormatting sqref="J16">
    <cfRule type="expression" dxfId="344" priority="862">
      <formula>($L$5="Debetfaktura")</formula>
    </cfRule>
  </conditionalFormatting>
  <conditionalFormatting sqref="I23">
    <cfRule type="notContainsBlanks" dxfId="343" priority="860">
      <formula>LEN(TRIM(I23))&gt;0</formula>
    </cfRule>
    <cfRule type="containsBlanks" dxfId="342" priority="861">
      <formula>LEN(TRIM(I23))=0</formula>
    </cfRule>
  </conditionalFormatting>
  <conditionalFormatting sqref="I23">
    <cfRule type="expression" dxfId="341" priority="859">
      <formula>AND(#REF!&lt;&gt;"",#REF!&lt;&gt;"T Text")</formula>
    </cfRule>
  </conditionalFormatting>
  <conditionalFormatting sqref="J46:K49">
    <cfRule type="expression" dxfId="340" priority="856">
      <formula>AND($C46&lt;&gt;"",$C46&lt;&gt;"T Text")</formula>
    </cfRule>
  </conditionalFormatting>
  <conditionalFormatting sqref="E64:E65">
    <cfRule type="notContainsBlanks" dxfId="339" priority="854">
      <formula>LEN(TRIM(E64))&gt;0</formula>
    </cfRule>
    <cfRule type="containsBlanks" dxfId="338" priority="855">
      <formula>LEN(TRIM(E64))=0</formula>
    </cfRule>
  </conditionalFormatting>
  <conditionalFormatting sqref="E64:E65 E46:E47">
    <cfRule type="expression" dxfId="337" priority="853">
      <formula>$C46&lt;&gt;""</formula>
    </cfRule>
  </conditionalFormatting>
  <conditionalFormatting sqref="J58:J65">
    <cfRule type="notContainsBlanks" dxfId="336" priority="851">
      <formula>LEN(TRIM(J58))&gt;0</formula>
    </cfRule>
    <cfRule type="containsBlanks" dxfId="335" priority="852">
      <formula>LEN(TRIM(J58))=0</formula>
    </cfRule>
  </conditionalFormatting>
  <conditionalFormatting sqref="J58:J65">
    <cfRule type="expression" dxfId="334" priority="850">
      <formula>AND($C58&lt;&gt;"",$C58&lt;&gt;"T Text")</formula>
    </cfRule>
  </conditionalFormatting>
  <conditionalFormatting sqref="X64:AA65">
    <cfRule type="notContainsBlanks" dxfId="333" priority="848">
      <formula>LEN(TRIM(X64))&gt;0</formula>
    </cfRule>
    <cfRule type="containsBlanks" dxfId="332" priority="849">
      <formula>LEN(TRIM(X64))=0</formula>
    </cfRule>
  </conditionalFormatting>
  <conditionalFormatting sqref="W64:W65">
    <cfRule type="notContainsBlanks" dxfId="331" priority="846">
      <formula>LEN(TRIM(W64))&gt;0</formula>
    </cfRule>
    <cfRule type="containsBlanks" dxfId="330" priority="847">
      <formula>LEN(TRIM(W64))=0</formula>
    </cfRule>
  </conditionalFormatting>
  <conditionalFormatting sqref="E61:E63">
    <cfRule type="notContainsBlanks" dxfId="329" priority="844">
      <formula>LEN(TRIM(E61))&gt;0</formula>
    </cfRule>
    <cfRule type="containsBlanks" dxfId="328" priority="845">
      <formula>LEN(TRIM(E61))=0</formula>
    </cfRule>
  </conditionalFormatting>
  <conditionalFormatting sqref="E61:E63">
    <cfRule type="expression" dxfId="327" priority="843">
      <formula>$C61&lt;&gt;""</formula>
    </cfRule>
  </conditionalFormatting>
  <conditionalFormatting sqref="X61:AA63">
    <cfRule type="notContainsBlanks" dxfId="326" priority="841">
      <formula>LEN(TRIM(X61))&gt;0</formula>
    </cfRule>
    <cfRule type="containsBlanks" dxfId="325" priority="842">
      <formula>LEN(TRIM(X61))=0</formula>
    </cfRule>
  </conditionalFormatting>
  <conditionalFormatting sqref="W61:W63">
    <cfRule type="notContainsBlanks" dxfId="324" priority="839">
      <formula>LEN(TRIM(W61))&gt;0</formula>
    </cfRule>
    <cfRule type="containsBlanks" dxfId="323" priority="840">
      <formula>LEN(TRIM(W61))=0</formula>
    </cfRule>
  </conditionalFormatting>
  <conditionalFormatting sqref="E58:E60">
    <cfRule type="notContainsBlanks" dxfId="322" priority="837">
      <formula>LEN(TRIM(E58))&gt;0</formula>
    </cfRule>
    <cfRule type="containsBlanks" dxfId="321" priority="838">
      <formula>LEN(TRIM(E58))=0</formula>
    </cfRule>
  </conditionalFormatting>
  <conditionalFormatting sqref="E58:E60">
    <cfRule type="expression" dxfId="320" priority="836">
      <formula>$C58&lt;&gt;""</formula>
    </cfRule>
  </conditionalFormatting>
  <conditionalFormatting sqref="X58:AA60">
    <cfRule type="notContainsBlanks" dxfId="319" priority="834">
      <formula>LEN(TRIM(X58))&gt;0</formula>
    </cfRule>
    <cfRule type="containsBlanks" dxfId="318" priority="835">
      <formula>LEN(TRIM(X58))=0</formula>
    </cfRule>
  </conditionalFormatting>
  <conditionalFormatting sqref="W58:W60">
    <cfRule type="notContainsBlanks" dxfId="317" priority="832">
      <formula>LEN(TRIM(W58))&gt;0</formula>
    </cfRule>
    <cfRule type="containsBlanks" dxfId="316" priority="833">
      <formula>LEN(TRIM(W58))=0</formula>
    </cfRule>
  </conditionalFormatting>
  <conditionalFormatting sqref="K58:K65">
    <cfRule type="notContainsBlanks" dxfId="315" priority="830">
      <formula>LEN(TRIM(K58))&gt;0</formula>
    </cfRule>
    <cfRule type="containsBlanks" dxfId="314" priority="831">
      <formula>LEN(TRIM(K58))=0</formula>
    </cfRule>
  </conditionalFormatting>
  <conditionalFormatting sqref="K58:K65">
    <cfRule type="expression" dxfId="313" priority="829">
      <formula>AND($C58&lt;&gt;"",$C58&lt;&gt;"T Text")</formula>
    </cfRule>
  </conditionalFormatting>
  <conditionalFormatting sqref="E56:E57">
    <cfRule type="notContainsBlanks" dxfId="312" priority="827">
      <formula>LEN(TRIM(E56))&gt;0</formula>
    </cfRule>
    <cfRule type="containsBlanks" dxfId="311" priority="828">
      <formula>LEN(TRIM(E56))=0</formula>
    </cfRule>
  </conditionalFormatting>
  <conditionalFormatting sqref="E56:E57">
    <cfRule type="expression" dxfId="310" priority="826">
      <formula>$C56&lt;&gt;""</formula>
    </cfRule>
  </conditionalFormatting>
  <conditionalFormatting sqref="J51:J57">
    <cfRule type="notContainsBlanks" dxfId="309" priority="824">
      <formula>LEN(TRIM(J51))&gt;0</formula>
    </cfRule>
    <cfRule type="containsBlanks" dxfId="308" priority="825">
      <formula>LEN(TRIM(J51))=0</formula>
    </cfRule>
  </conditionalFormatting>
  <conditionalFormatting sqref="J51:J57">
    <cfRule type="expression" dxfId="307" priority="823">
      <formula>AND($C51&lt;&gt;"",$C51&lt;&gt;"T Text")</formula>
    </cfRule>
  </conditionalFormatting>
  <conditionalFormatting sqref="X56:AA57">
    <cfRule type="notContainsBlanks" dxfId="306" priority="821">
      <formula>LEN(TRIM(X56))&gt;0</formula>
    </cfRule>
    <cfRule type="containsBlanks" dxfId="305" priority="822">
      <formula>LEN(TRIM(X56))=0</formula>
    </cfRule>
  </conditionalFormatting>
  <conditionalFormatting sqref="W56:W57">
    <cfRule type="notContainsBlanks" dxfId="304" priority="819">
      <formula>LEN(TRIM(W56))&gt;0</formula>
    </cfRule>
    <cfRule type="containsBlanks" dxfId="303" priority="820">
      <formula>LEN(TRIM(W56))=0</formula>
    </cfRule>
  </conditionalFormatting>
  <conditionalFormatting sqref="E53:E55">
    <cfRule type="notContainsBlanks" dxfId="302" priority="817">
      <formula>LEN(TRIM(E53))&gt;0</formula>
    </cfRule>
    <cfRule type="containsBlanks" dxfId="301" priority="818">
      <formula>LEN(TRIM(E53))=0</formula>
    </cfRule>
  </conditionalFormatting>
  <conditionalFormatting sqref="E53:E55">
    <cfRule type="expression" dxfId="300" priority="816">
      <formula>$C53&lt;&gt;""</formula>
    </cfRule>
  </conditionalFormatting>
  <conditionalFormatting sqref="X53:AA55">
    <cfRule type="notContainsBlanks" dxfId="299" priority="814">
      <formula>LEN(TRIM(X53))&gt;0</formula>
    </cfRule>
    <cfRule type="containsBlanks" dxfId="298" priority="815">
      <formula>LEN(TRIM(X53))=0</formula>
    </cfRule>
  </conditionalFormatting>
  <conditionalFormatting sqref="W53:W55">
    <cfRule type="notContainsBlanks" dxfId="297" priority="812">
      <formula>LEN(TRIM(W53))&gt;0</formula>
    </cfRule>
    <cfRule type="containsBlanks" dxfId="296" priority="813">
      <formula>LEN(TRIM(W53))=0</formula>
    </cfRule>
  </conditionalFormatting>
  <conditionalFormatting sqref="E51:E52">
    <cfRule type="notContainsBlanks" dxfId="295" priority="810">
      <formula>LEN(TRIM(E51))&gt;0</formula>
    </cfRule>
    <cfRule type="containsBlanks" dxfId="294" priority="811">
      <formula>LEN(TRIM(E51))=0</formula>
    </cfRule>
  </conditionalFormatting>
  <conditionalFormatting sqref="E51:E52">
    <cfRule type="expression" dxfId="293" priority="809">
      <formula>$C51&lt;&gt;""</formula>
    </cfRule>
  </conditionalFormatting>
  <conditionalFormatting sqref="X51:AA52">
    <cfRule type="notContainsBlanks" dxfId="292" priority="807">
      <formula>LEN(TRIM(X51))&gt;0</formula>
    </cfRule>
    <cfRule type="containsBlanks" dxfId="291" priority="808">
      <formula>LEN(TRIM(X51))=0</formula>
    </cfRule>
  </conditionalFormatting>
  <conditionalFormatting sqref="W51:W52">
    <cfRule type="notContainsBlanks" dxfId="290" priority="805">
      <formula>LEN(TRIM(W51))&gt;0</formula>
    </cfRule>
    <cfRule type="containsBlanks" dxfId="289" priority="806">
      <formula>LEN(TRIM(W51))=0</formula>
    </cfRule>
  </conditionalFormatting>
  <conditionalFormatting sqref="K51:K57">
    <cfRule type="notContainsBlanks" dxfId="288" priority="803">
      <formula>LEN(TRIM(K51))&gt;0</formula>
    </cfRule>
    <cfRule type="containsBlanks" dxfId="287" priority="804">
      <formula>LEN(TRIM(K51))=0</formula>
    </cfRule>
  </conditionalFormatting>
  <conditionalFormatting sqref="K51:K57">
    <cfRule type="expression" dxfId="286" priority="802">
      <formula>AND($C51&lt;&gt;"",$C51&lt;&gt;"T Text")</formula>
    </cfRule>
  </conditionalFormatting>
  <conditionalFormatting sqref="V35:Y37">
    <cfRule type="notContainsBlanks" dxfId="285" priority="787">
      <formula>LEN(TRIM(V35))&gt;0</formula>
    </cfRule>
    <cfRule type="containsBlanks" dxfId="284" priority="788">
      <formula>LEN(TRIM(V35))=0</formula>
    </cfRule>
  </conditionalFormatting>
  <conditionalFormatting sqref="V32:Y34">
    <cfRule type="notContainsBlanks" dxfId="283" priority="780">
      <formula>LEN(TRIM(V32))&gt;0</formula>
    </cfRule>
    <cfRule type="containsBlanks" dxfId="282" priority="781">
      <formula>LEN(TRIM(V32))=0</formula>
    </cfRule>
  </conditionalFormatting>
  <conditionalFormatting sqref="E50">
    <cfRule type="notContainsBlanks" dxfId="281" priority="773">
      <formula>LEN(TRIM(E50))&gt;0</formula>
    </cfRule>
    <cfRule type="containsBlanks" dxfId="280" priority="774">
      <formula>LEN(TRIM(E50))=0</formula>
    </cfRule>
  </conditionalFormatting>
  <conditionalFormatting sqref="E50">
    <cfRule type="expression" dxfId="279" priority="772">
      <formula>$C50&lt;&gt;""</formula>
    </cfRule>
  </conditionalFormatting>
  <conditionalFormatting sqref="J50">
    <cfRule type="notContainsBlanks" dxfId="278" priority="770">
      <formula>LEN(TRIM(J50))&gt;0</formula>
    </cfRule>
    <cfRule type="containsBlanks" dxfId="277" priority="771">
      <formula>LEN(TRIM(J50))=0</formula>
    </cfRule>
  </conditionalFormatting>
  <conditionalFormatting sqref="J50">
    <cfRule type="expression" dxfId="276" priority="769">
      <formula>AND($C50&lt;&gt;"",$C50&lt;&gt;"T Text")</formula>
    </cfRule>
  </conditionalFormatting>
  <conditionalFormatting sqref="X50:AA50">
    <cfRule type="notContainsBlanks" dxfId="275" priority="767">
      <formula>LEN(TRIM(X50))&gt;0</formula>
    </cfRule>
    <cfRule type="containsBlanks" dxfId="274" priority="768">
      <formula>LEN(TRIM(X50))=0</formula>
    </cfRule>
  </conditionalFormatting>
  <conditionalFormatting sqref="W50">
    <cfRule type="notContainsBlanks" dxfId="273" priority="765">
      <formula>LEN(TRIM(W50))&gt;0</formula>
    </cfRule>
    <cfRule type="containsBlanks" dxfId="272" priority="766">
      <formula>LEN(TRIM(W50))=0</formula>
    </cfRule>
  </conditionalFormatting>
  <conditionalFormatting sqref="K50">
    <cfRule type="notContainsBlanks" dxfId="271" priority="763">
      <formula>LEN(TRIM(K50))&gt;0</formula>
    </cfRule>
    <cfRule type="containsBlanks" dxfId="270" priority="764">
      <formula>LEN(TRIM(K50))=0</formula>
    </cfRule>
  </conditionalFormatting>
  <conditionalFormatting sqref="K50">
    <cfRule type="expression" dxfId="269" priority="762">
      <formula>AND($C50&lt;&gt;"",$C50&lt;&gt;"T Text")</formula>
    </cfRule>
  </conditionalFormatting>
  <conditionalFormatting sqref="E48:E49">
    <cfRule type="notContainsBlanks" dxfId="268" priority="760">
      <formula>LEN(TRIM(E48))&gt;0</formula>
    </cfRule>
    <cfRule type="containsBlanks" dxfId="267" priority="761">
      <formula>LEN(TRIM(E48))=0</formula>
    </cfRule>
  </conditionalFormatting>
  <conditionalFormatting sqref="E48:E49">
    <cfRule type="expression" dxfId="266" priority="759">
      <formula>$C48&lt;&gt;""</formula>
    </cfRule>
  </conditionalFormatting>
  <conditionalFormatting sqref="X48:AA49">
    <cfRule type="notContainsBlanks" dxfId="265" priority="754">
      <formula>LEN(TRIM(X48))&gt;0</formula>
    </cfRule>
    <cfRule type="containsBlanks" dxfId="264" priority="755">
      <formula>LEN(TRIM(X48))=0</formula>
    </cfRule>
  </conditionalFormatting>
  <conditionalFormatting sqref="W48:W49">
    <cfRule type="notContainsBlanks" dxfId="263" priority="752">
      <formula>LEN(TRIM(W48))&gt;0</formula>
    </cfRule>
    <cfRule type="containsBlanks" dxfId="262" priority="753">
      <formula>LEN(TRIM(W48))=0</formula>
    </cfRule>
  </conditionalFormatting>
  <conditionalFormatting sqref="C46:C65">
    <cfRule type="notContainsBlanks" dxfId="261" priority="706">
      <formula>LEN(TRIM(C46))&gt;0</formula>
    </cfRule>
    <cfRule type="containsBlanks" dxfId="260" priority="707">
      <formula>LEN(TRIM(C46))=0</formula>
    </cfRule>
  </conditionalFormatting>
  <conditionalFormatting sqref="J11:L11">
    <cfRule type="notContainsBlanks" dxfId="259" priority="704">
      <formula>LEN(TRIM(J11))&gt;0</formula>
    </cfRule>
    <cfRule type="containsBlanks" dxfId="258" priority="705">
      <formula>LEN(TRIM(J11))=0</formula>
    </cfRule>
  </conditionalFormatting>
  <conditionalFormatting sqref="O21:T21">
    <cfRule type="expression" dxfId="257" priority="698">
      <formula>O21&lt;&gt;""</formula>
    </cfRule>
  </conditionalFormatting>
  <conditionalFormatting sqref="V64:V65">
    <cfRule type="notContainsBlanks" dxfId="256" priority="690">
      <formula>LEN(TRIM(V64))&gt;0</formula>
    </cfRule>
    <cfRule type="containsBlanks" dxfId="255" priority="691">
      <formula>LEN(TRIM(V64))=0</formula>
    </cfRule>
  </conditionalFormatting>
  <conditionalFormatting sqref="V61:V63">
    <cfRule type="notContainsBlanks" dxfId="254" priority="688">
      <formula>LEN(TRIM(V61))&gt;0</formula>
    </cfRule>
    <cfRule type="containsBlanks" dxfId="253" priority="689">
      <formula>LEN(TRIM(V61))=0</formula>
    </cfRule>
  </conditionalFormatting>
  <conditionalFormatting sqref="V58:V60">
    <cfRule type="notContainsBlanks" dxfId="252" priority="686">
      <formula>LEN(TRIM(V58))&gt;0</formula>
    </cfRule>
    <cfRule type="containsBlanks" dxfId="251" priority="687">
      <formula>LEN(TRIM(V58))=0</formula>
    </cfRule>
  </conditionalFormatting>
  <conditionalFormatting sqref="V56:V57">
    <cfRule type="notContainsBlanks" dxfId="250" priority="684">
      <formula>LEN(TRIM(V56))&gt;0</formula>
    </cfRule>
    <cfRule type="containsBlanks" dxfId="249" priority="685">
      <formula>LEN(TRIM(V56))=0</formula>
    </cfRule>
  </conditionalFormatting>
  <conditionalFormatting sqref="V53:V55">
    <cfRule type="notContainsBlanks" dxfId="248" priority="682">
      <formula>LEN(TRIM(V53))&gt;0</formula>
    </cfRule>
    <cfRule type="containsBlanks" dxfId="247" priority="683">
      <formula>LEN(TRIM(V53))=0</formula>
    </cfRule>
  </conditionalFormatting>
  <conditionalFormatting sqref="V51:V52">
    <cfRule type="notContainsBlanks" dxfId="246" priority="680">
      <formula>LEN(TRIM(V51))&gt;0</formula>
    </cfRule>
    <cfRule type="containsBlanks" dxfId="245" priority="681">
      <formula>LEN(TRIM(V51))=0</formula>
    </cfRule>
  </conditionalFormatting>
  <conditionalFormatting sqref="V50">
    <cfRule type="notContainsBlanks" dxfId="244" priority="672">
      <formula>LEN(TRIM(V50))&gt;0</formula>
    </cfRule>
    <cfRule type="containsBlanks" dxfId="243" priority="673">
      <formula>LEN(TRIM(V50))=0</formula>
    </cfRule>
  </conditionalFormatting>
  <conditionalFormatting sqref="V48:V49">
    <cfRule type="notContainsBlanks" dxfId="242" priority="670">
      <formula>LEN(TRIM(V48))&gt;0</formula>
    </cfRule>
    <cfRule type="containsBlanks" dxfId="241" priority="671">
      <formula>LEN(TRIM(V48))=0</formula>
    </cfRule>
  </conditionalFormatting>
  <conditionalFormatting sqref="L14">
    <cfRule type="notContainsBlanks" dxfId="240" priority="658">
      <formula>LEN(TRIM(L14))&gt;0</formula>
    </cfRule>
    <cfRule type="containsBlanks" dxfId="239" priority="659">
      <formula>LEN(TRIM(L14))=0</formula>
    </cfRule>
  </conditionalFormatting>
  <conditionalFormatting sqref="C23">
    <cfRule type="notContainsBlanks" dxfId="238" priority="654">
      <formula>LEN(TRIM(C23))&gt;0</formula>
    </cfRule>
    <cfRule type="containsBlanks" dxfId="237" priority="655">
      <formula>LEN(TRIM(C23))=0</formula>
    </cfRule>
  </conditionalFormatting>
  <conditionalFormatting sqref="L23:L28">
    <cfRule type="notContainsBlanks" dxfId="236" priority="634">
      <formula>LEN(TRIM(L23))&gt;0</formula>
    </cfRule>
    <cfRule type="containsBlanks" dxfId="235" priority="635">
      <formula>LEN(TRIM(L23))=0</formula>
    </cfRule>
  </conditionalFormatting>
  <conditionalFormatting sqref="L32:L37 L23:L30">
    <cfRule type="expression" dxfId="234" priority="633">
      <formula>AND(#REF!&lt;&gt;"",#REF!&lt;&gt;"T Text")</formula>
    </cfRule>
  </conditionalFormatting>
  <conditionalFormatting sqref="M23:M65">
    <cfRule type="expression" dxfId="233" priority="630">
      <formula>AND(#REF!&lt;&gt;"",#REF!&lt;&gt;"T Text")</formula>
    </cfRule>
  </conditionalFormatting>
  <conditionalFormatting sqref="O23:O65">
    <cfRule type="notContainsBlanks" dxfId="232" priority="628">
      <formula>LEN(TRIM(O23))&gt;0</formula>
    </cfRule>
    <cfRule type="containsBlanks" dxfId="231" priority="629">
      <formula>LEN(TRIM(O23))=0</formula>
    </cfRule>
  </conditionalFormatting>
  <conditionalFormatting sqref="O23:O65">
    <cfRule type="expression" dxfId="230" priority="627">
      <formula>AND(#REF!&lt;&gt;"",#REF!&lt;&gt;"T Text")</formula>
    </cfRule>
  </conditionalFormatting>
  <conditionalFormatting sqref="Z32:Z37">
    <cfRule type="notContainsBlanks" dxfId="229" priority="610">
      <formula>LEN(TRIM(Z32))&gt;0</formula>
    </cfRule>
    <cfRule type="containsBlanks" dxfId="228" priority="611">
      <formula>LEN(TRIM(Z32))=0</formula>
    </cfRule>
  </conditionalFormatting>
  <conditionalFormatting sqref="Z32:Z37 Z23:Z30">
    <cfRule type="expression" dxfId="227" priority="609">
      <formula>AND(#REF!&lt;&gt;"",#REF!&lt;&gt;"T Text")</formula>
    </cfRule>
  </conditionalFormatting>
  <conditionalFormatting sqref="AA32:AA37">
    <cfRule type="notContainsBlanks" dxfId="226" priority="607">
      <formula>LEN(TRIM(AA32))&gt;0</formula>
    </cfRule>
    <cfRule type="containsBlanks" dxfId="225" priority="608">
      <formula>LEN(TRIM(AA32))=0</formula>
    </cfRule>
  </conditionalFormatting>
  <conditionalFormatting sqref="AA32:AA37 AA23:AA30">
    <cfRule type="expression" dxfId="224" priority="606">
      <formula>AND(#REF!&lt;&gt;"",#REF!&lt;&gt;"T Text")</formula>
    </cfRule>
  </conditionalFormatting>
  <conditionalFormatting sqref="J38:K38">
    <cfRule type="expression" dxfId="223" priority="599">
      <formula>AND(#REF!&lt;&gt;"",#REF!&lt;&gt;"T Text")</formula>
    </cfRule>
  </conditionalFormatting>
  <conditionalFormatting sqref="L38">
    <cfRule type="expression" dxfId="222" priority="585">
      <formula>AND(#REF!&lt;&gt;"",#REF!&lt;&gt;"T Text")</formula>
    </cfRule>
  </conditionalFormatting>
  <conditionalFormatting sqref="Z38">
    <cfRule type="expression" dxfId="221" priority="564">
      <formula>AND(#REF!&lt;&gt;"",#REF!&lt;&gt;"T Text")</formula>
    </cfRule>
  </conditionalFormatting>
  <conditionalFormatting sqref="AA38">
    <cfRule type="expression" dxfId="220" priority="561">
      <formula>AND(#REF!&lt;&gt;"",#REF!&lt;&gt;"T Text")</formula>
    </cfRule>
  </conditionalFormatting>
  <conditionalFormatting sqref="C38">
    <cfRule type="notContainsBlanks" dxfId="219" priority="500">
      <formula>LEN(TRIM(C38))&gt;0</formula>
    </cfRule>
    <cfRule type="containsBlanks" dxfId="218" priority="501">
      <formula>LEN(TRIM(C38))=0</formula>
    </cfRule>
  </conditionalFormatting>
  <conditionalFormatting sqref="C24">
    <cfRule type="notContainsBlanks" dxfId="217" priority="469">
      <formula>LEN(TRIM(C24))&gt;0</formula>
    </cfRule>
    <cfRule type="containsBlanks" dxfId="216" priority="470">
      <formula>LEN(TRIM(C24))=0</formula>
    </cfRule>
  </conditionalFormatting>
  <conditionalFormatting sqref="C25">
    <cfRule type="notContainsBlanks" dxfId="215" priority="467">
      <formula>LEN(TRIM(C25))&gt;0</formula>
    </cfRule>
    <cfRule type="containsBlanks" dxfId="214" priority="468">
      <formula>LEN(TRIM(C25))=0</formula>
    </cfRule>
  </conditionalFormatting>
  <conditionalFormatting sqref="C27">
    <cfRule type="notContainsBlanks" dxfId="213" priority="463">
      <formula>LEN(TRIM(C27))&gt;0</formula>
    </cfRule>
    <cfRule type="containsBlanks" dxfId="212" priority="464">
      <formula>LEN(TRIM(C27))=0</formula>
    </cfRule>
  </conditionalFormatting>
  <conditionalFormatting sqref="C28">
    <cfRule type="notContainsBlanks" dxfId="211" priority="461">
      <formula>LEN(TRIM(C28))&gt;0</formula>
    </cfRule>
    <cfRule type="containsBlanks" dxfId="210" priority="462">
      <formula>LEN(TRIM(C28))=0</formula>
    </cfRule>
  </conditionalFormatting>
  <conditionalFormatting sqref="C29">
    <cfRule type="notContainsBlanks" dxfId="209" priority="375">
      <formula>LEN(TRIM(C29))&gt;0</formula>
    </cfRule>
    <cfRule type="containsBlanks" dxfId="208" priority="376">
      <formula>LEN(TRIM(C29))=0</formula>
    </cfRule>
  </conditionalFormatting>
  <conditionalFormatting sqref="C30">
    <cfRule type="notContainsBlanks" dxfId="207" priority="453">
      <formula>LEN(TRIM(C30))&gt;0</formula>
    </cfRule>
    <cfRule type="containsBlanks" dxfId="206" priority="454">
      <formula>LEN(TRIM(C30))=0</formula>
    </cfRule>
  </conditionalFormatting>
  <conditionalFormatting sqref="E29">
    <cfRule type="notContainsBlanks" dxfId="205" priority="403">
      <formula>LEN(TRIM(E29))&gt;0</formula>
    </cfRule>
    <cfRule type="containsBlanks" dxfId="204" priority="404">
      <formula>LEN(TRIM(E29))=0</formula>
    </cfRule>
  </conditionalFormatting>
  <conditionalFormatting sqref="E31">
    <cfRule type="notContainsBlanks" dxfId="203" priority="399">
      <formula>LEN(TRIM(E31))&gt;0</formula>
    </cfRule>
    <cfRule type="containsBlanks" dxfId="202" priority="400">
      <formula>LEN(TRIM(E31))=0</formula>
    </cfRule>
  </conditionalFormatting>
  <conditionalFormatting sqref="E38">
    <cfRule type="notContainsBlanks" dxfId="201" priority="377">
      <formula>LEN(TRIM(E38))&gt;0</formula>
    </cfRule>
    <cfRule type="containsBlanks" dxfId="200" priority="378">
      <formula>LEN(TRIM(E38))=0</formula>
    </cfRule>
  </conditionalFormatting>
  <conditionalFormatting sqref="V31:Y31">
    <cfRule type="notContainsBlanks" dxfId="199" priority="352">
      <formula>LEN(TRIM(V31))&gt;0</formula>
    </cfRule>
    <cfRule type="containsBlanks" dxfId="198" priority="353">
      <formula>LEN(TRIM(V31))=0</formula>
    </cfRule>
  </conditionalFormatting>
  <conditionalFormatting sqref="Z31">
    <cfRule type="notContainsBlanks" dxfId="197" priority="335">
      <formula>LEN(TRIM(Z31))&gt;0</formula>
    </cfRule>
    <cfRule type="containsBlanks" dxfId="196" priority="336">
      <formula>LEN(TRIM(Z31))=0</formula>
    </cfRule>
  </conditionalFormatting>
  <conditionalFormatting sqref="Z31">
    <cfRule type="expression" dxfId="195" priority="334">
      <formula>AND(#REF!&lt;&gt;"",#REF!&lt;&gt;"T Text")</formula>
    </cfRule>
  </conditionalFormatting>
  <conditionalFormatting sqref="AA31">
    <cfRule type="notContainsBlanks" dxfId="194" priority="332">
      <formula>LEN(TRIM(AA31))&gt;0</formula>
    </cfRule>
    <cfRule type="containsBlanks" dxfId="193" priority="333">
      <formula>LEN(TRIM(AA31))=0</formula>
    </cfRule>
  </conditionalFormatting>
  <conditionalFormatting sqref="AA31">
    <cfRule type="expression" dxfId="192" priority="331">
      <formula>AND(#REF!&lt;&gt;"",#REF!&lt;&gt;"T Text")</formula>
    </cfRule>
  </conditionalFormatting>
  <conditionalFormatting sqref="J31:L31">
    <cfRule type="notContainsBlanks" dxfId="191" priority="329">
      <formula>LEN(TRIM(J31))&gt;0</formula>
    </cfRule>
    <cfRule type="containsBlanks" dxfId="190" priority="330">
      <formula>LEN(TRIM(J31))=0</formula>
    </cfRule>
  </conditionalFormatting>
  <conditionalFormatting sqref="J31:K31">
    <cfRule type="expression" dxfId="189" priority="328">
      <formula>AND(#REF!&lt;&gt;"",#REF!&lt;&gt;"T Text")</formula>
    </cfRule>
  </conditionalFormatting>
  <conditionalFormatting sqref="L31">
    <cfRule type="expression" dxfId="188" priority="324">
      <formula>AND(#REF!&lt;&gt;"",#REF!&lt;&gt;"T Text")</formula>
    </cfRule>
  </conditionalFormatting>
  <conditionalFormatting sqref="C31">
    <cfRule type="notContainsBlanks" dxfId="187" priority="322">
      <formula>LEN(TRIM(C31))&gt;0</formula>
    </cfRule>
    <cfRule type="containsBlanks" dxfId="186" priority="323">
      <formula>LEN(TRIM(C31))=0</formula>
    </cfRule>
  </conditionalFormatting>
  <conditionalFormatting sqref="C32">
    <cfRule type="notContainsBlanks" dxfId="185" priority="309">
      <formula>LEN(TRIM(C32))&gt;0</formula>
    </cfRule>
    <cfRule type="containsBlanks" dxfId="184" priority="310">
      <formula>LEN(TRIM(C32))=0</formula>
    </cfRule>
  </conditionalFormatting>
  <conditionalFormatting sqref="C33">
    <cfRule type="notContainsBlanks" dxfId="183" priority="307">
      <formula>LEN(TRIM(C33))&gt;0</formula>
    </cfRule>
    <cfRule type="containsBlanks" dxfId="182" priority="308">
      <formula>LEN(TRIM(C33))=0</formula>
    </cfRule>
  </conditionalFormatting>
  <conditionalFormatting sqref="C35">
    <cfRule type="notContainsBlanks" dxfId="181" priority="303">
      <formula>LEN(TRIM(C35))&gt;0</formula>
    </cfRule>
    <cfRule type="containsBlanks" dxfId="180" priority="304">
      <formula>LEN(TRIM(C35))=0</formula>
    </cfRule>
  </conditionalFormatting>
  <conditionalFormatting sqref="C36">
    <cfRule type="notContainsBlanks" dxfId="179" priority="301">
      <formula>LEN(TRIM(C36))&gt;0</formula>
    </cfRule>
    <cfRule type="containsBlanks" dxfId="178" priority="302">
      <formula>LEN(TRIM(C36))=0</formula>
    </cfRule>
  </conditionalFormatting>
  <conditionalFormatting sqref="C37">
    <cfRule type="notContainsBlanks" dxfId="177" priority="299">
      <formula>LEN(TRIM(C37))&gt;0</formula>
    </cfRule>
    <cfRule type="containsBlanks" dxfId="176" priority="300">
      <formula>LEN(TRIM(C37))=0</formula>
    </cfRule>
  </conditionalFormatting>
  <conditionalFormatting sqref="J43:J45">
    <cfRule type="notContainsBlanks" dxfId="175" priority="274">
      <formula>LEN(TRIM(J43))&gt;0</formula>
    </cfRule>
    <cfRule type="containsBlanks" dxfId="174" priority="275">
      <formula>LEN(TRIM(J43))=0</formula>
    </cfRule>
  </conditionalFormatting>
  <conditionalFormatting sqref="J43:J45">
    <cfRule type="expression" dxfId="173" priority="273">
      <formula>AND($C43&lt;&gt;"",$C43&lt;&gt;"T Text")</formula>
    </cfRule>
  </conditionalFormatting>
  <conditionalFormatting sqref="E43:E45">
    <cfRule type="notContainsBlanks" dxfId="172" priority="271">
      <formula>LEN(TRIM(E43))&gt;0</formula>
    </cfRule>
    <cfRule type="containsBlanks" dxfId="171" priority="272">
      <formula>LEN(TRIM(E43))=0</formula>
    </cfRule>
  </conditionalFormatting>
  <conditionalFormatting sqref="E43:E45">
    <cfRule type="expression" dxfId="170" priority="270">
      <formula>$C43&lt;&gt;""</formula>
    </cfRule>
  </conditionalFormatting>
  <conditionalFormatting sqref="X43:AA45">
    <cfRule type="notContainsBlanks" dxfId="169" priority="268">
      <formula>LEN(TRIM(X43))&gt;0</formula>
    </cfRule>
    <cfRule type="containsBlanks" dxfId="168" priority="269">
      <formula>LEN(TRIM(X43))=0</formula>
    </cfRule>
  </conditionalFormatting>
  <conditionalFormatting sqref="W43:W45">
    <cfRule type="notContainsBlanks" dxfId="167" priority="266">
      <formula>LEN(TRIM(W43))&gt;0</formula>
    </cfRule>
    <cfRule type="containsBlanks" dxfId="166" priority="267">
      <formula>LEN(TRIM(W43))=0</formula>
    </cfRule>
  </conditionalFormatting>
  <conditionalFormatting sqref="K43:K45">
    <cfRule type="notContainsBlanks" dxfId="165" priority="264">
      <formula>LEN(TRIM(K43))&gt;0</formula>
    </cfRule>
    <cfRule type="containsBlanks" dxfId="164" priority="265">
      <formula>LEN(TRIM(K43))=0</formula>
    </cfRule>
  </conditionalFormatting>
  <conditionalFormatting sqref="K43:K45">
    <cfRule type="expression" dxfId="163" priority="263">
      <formula>AND($C43&lt;&gt;"",$C43&lt;&gt;"T Text")</formula>
    </cfRule>
  </conditionalFormatting>
  <conditionalFormatting sqref="E41:E42">
    <cfRule type="notContainsBlanks" dxfId="162" priority="261">
      <formula>LEN(TRIM(E41))&gt;0</formula>
    </cfRule>
    <cfRule type="containsBlanks" dxfId="161" priority="262">
      <formula>LEN(TRIM(E41))=0</formula>
    </cfRule>
  </conditionalFormatting>
  <conditionalFormatting sqref="E41:E42">
    <cfRule type="expression" dxfId="160" priority="260">
      <formula>$C41&lt;&gt;""</formula>
    </cfRule>
  </conditionalFormatting>
  <conditionalFormatting sqref="J39:J42">
    <cfRule type="notContainsBlanks" dxfId="159" priority="258">
      <formula>LEN(TRIM(J39))&gt;0</formula>
    </cfRule>
    <cfRule type="containsBlanks" dxfId="158" priority="259">
      <formula>LEN(TRIM(J39))=0</formula>
    </cfRule>
  </conditionalFormatting>
  <conditionalFormatting sqref="J39:J42">
    <cfRule type="expression" dxfId="157" priority="257">
      <formula>AND($C39&lt;&gt;"",$C39&lt;&gt;"T Text")</formula>
    </cfRule>
  </conditionalFormatting>
  <conditionalFormatting sqref="X41:AA42">
    <cfRule type="notContainsBlanks" dxfId="156" priority="255">
      <formula>LEN(TRIM(X41))&gt;0</formula>
    </cfRule>
    <cfRule type="containsBlanks" dxfId="155" priority="256">
      <formula>LEN(TRIM(X41))=0</formula>
    </cfRule>
  </conditionalFormatting>
  <conditionalFormatting sqref="W41:W42">
    <cfRule type="notContainsBlanks" dxfId="154" priority="253">
      <formula>LEN(TRIM(W41))&gt;0</formula>
    </cfRule>
    <cfRule type="containsBlanks" dxfId="153" priority="254">
      <formula>LEN(TRIM(W41))=0</formula>
    </cfRule>
  </conditionalFormatting>
  <conditionalFormatting sqref="E39:E40">
    <cfRule type="notContainsBlanks" dxfId="152" priority="251">
      <formula>LEN(TRIM(E39))&gt;0</formula>
    </cfRule>
    <cfRule type="containsBlanks" dxfId="151" priority="252">
      <formula>LEN(TRIM(E39))=0</formula>
    </cfRule>
  </conditionalFormatting>
  <conditionalFormatting sqref="E39:E40">
    <cfRule type="expression" dxfId="150" priority="250">
      <formula>$C39&lt;&gt;""</formula>
    </cfRule>
  </conditionalFormatting>
  <conditionalFormatting sqref="X39:AA40">
    <cfRule type="notContainsBlanks" dxfId="149" priority="248">
      <formula>LEN(TRIM(X39))&gt;0</formula>
    </cfRule>
    <cfRule type="containsBlanks" dxfId="148" priority="249">
      <formula>LEN(TRIM(X39))=0</formula>
    </cfRule>
  </conditionalFormatting>
  <conditionalFormatting sqref="W39:W40">
    <cfRule type="notContainsBlanks" dxfId="147" priority="246">
      <formula>LEN(TRIM(W39))&gt;0</formula>
    </cfRule>
    <cfRule type="containsBlanks" dxfId="146" priority="247">
      <formula>LEN(TRIM(W39))=0</formula>
    </cfRule>
  </conditionalFormatting>
  <conditionalFormatting sqref="K39:K42">
    <cfRule type="notContainsBlanks" dxfId="145" priority="244">
      <formula>LEN(TRIM(K39))&gt;0</formula>
    </cfRule>
    <cfRule type="containsBlanks" dxfId="144" priority="245">
      <formula>LEN(TRIM(K39))=0</formula>
    </cfRule>
  </conditionalFormatting>
  <conditionalFormatting sqref="K39:K42">
    <cfRule type="expression" dxfId="143" priority="243">
      <formula>AND($C39&lt;&gt;"",$C39&lt;&gt;"T Text")</formula>
    </cfRule>
  </conditionalFormatting>
  <conditionalFormatting sqref="C39:C45">
    <cfRule type="notContainsBlanks" dxfId="142" priority="241">
      <formula>LEN(TRIM(C39))&gt;0</formula>
    </cfRule>
    <cfRule type="containsBlanks" dxfId="141" priority="242">
      <formula>LEN(TRIM(C39))=0</formula>
    </cfRule>
  </conditionalFormatting>
  <conditionalFormatting sqref="V43:V45">
    <cfRule type="notContainsBlanks" dxfId="140" priority="234">
      <formula>LEN(TRIM(V43))&gt;0</formula>
    </cfRule>
    <cfRule type="containsBlanks" dxfId="139" priority="235">
      <formula>LEN(TRIM(V43))=0</formula>
    </cfRule>
  </conditionalFormatting>
  <conditionalFormatting sqref="V41:V42">
    <cfRule type="notContainsBlanks" dxfId="138" priority="232">
      <formula>LEN(TRIM(V41))&gt;0</formula>
    </cfRule>
    <cfRule type="containsBlanks" dxfId="137" priority="233">
      <formula>LEN(TRIM(V41))=0</formula>
    </cfRule>
  </conditionalFormatting>
  <conditionalFormatting sqref="V39:V40">
    <cfRule type="notContainsBlanks" dxfId="136" priority="230">
      <formula>LEN(TRIM(V39))&gt;0</formula>
    </cfRule>
    <cfRule type="containsBlanks" dxfId="135" priority="231">
      <formula>LEN(TRIM(V39))=0</formula>
    </cfRule>
  </conditionalFormatting>
  <conditionalFormatting sqref="L46:L49">
    <cfRule type="notContainsBlanks" dxfId="134" priority="224">
      <formula>LEN(TRIM(L46))&gt;0</formula>
    </cfRule>
    <cfRule type="containsBlanks" dxfId="133" priority="225">
      <formula>LEN(TRIM(L46))=0</formula>
    </cfRule>
  </conditionalFormatting>
  <conditionalFormatting sqref="L46:L49">
    <cfRule type="expression" dxfId="132" priority="223">
      <formula>AND($C46&lt;&gt;"",$C46&lt;&gt;"T Text")</formula>
    </cfRule>
  </conditionalFormatting>
  <conditionalFormatting sqref="L58:L65">
    <cfRule type="notContainsBlanks" dxfId="131" priority="221">
      <formula>LEN(TRIM(L58))&gt;0</formula>
    </cfRule>
    <cfRule type="containsBlanks" dxfId="130" priority="222">
      <formula>LEN(TRIM(L58))=0</formula>
    </cfRule>
  </conditionalFormatting>
  <conditionalFormatting sqref="L58:L65">
    <cfRule type="expression" dxfId="129" priority="220">
      <formula>AND($C58&lt;&gt;"",$C58&lt;&gt;"T Text")</formula>
    </cfRule>
  </conditionalFormatting>
  <conditionalFormatting sqref="L51:L57">
    <cfRule type="notContainsBlanks" dxfId="128" priority="218">
      <formula>LEN(TRIM(L51))&gt;0</formula>
    </cfRule>
    <cfRule type="containsBlanks" dxfId="127" priority="219">
      <formula>LEN(TRIM(L51))=0</formula>
    </cfRule>
  </conditionalFormatting>
  <conditionalFormatting sqref="L51:L57">
    <cfRule type="expression" dxfId="126" priority="217">
      <formula>AND($C51&lt;&gt;"",$C51&lt;&gt;"T Text")</formula>
    </cfRule>
  </conditionalFormatting>
  <conditionalFormatting sqref="L50">
    <cfRule type="notContainsBlanks" dxfId="125" priority="215">
      <formula>LEN(TRIM(L50))&gt;0</formula>
    </cfRule>
    <cfRule type="containsBlanks" dxfId="124" priority="216">
      <formula>LEN(TRIM(L50))=0</formula>
    </cfRule>
  </conditionalFormatting>
  <conditionalFormatting sqref="L50">
    <cfRule type="expression" dxfId="123" priority="214">
      <formula>AND($C50&lt;&gt;"",$C50&lt;&gt;"T Text")</formula>
    </cfRule>
  </conditionalFormatting>
  <conditionalFormatting sqref="L43:L45">
    <cfRule type="notContainsBlanks" dxfId="122" priority="209">
      <formula>LEN(TRIM(L43))&gt;0</formula>
    </cfRule>
    <cfRule type="containsBlanks" dxfId="121" priority="210">
      <formula>LEN(TRIM(L43))=0</formula>
    </cfRule>
  </conditionalFormatting>
  <conditionalFormatting sqref="L43:L45">
    <cfRule type="expression" dxfId="120" priority="208">
      <formula>AND($C43&lt;&gt;"",$C43&lt;&gt;"T Text")</formula>
    </cfRule>
  </conditionalFormatting>
  <conditionalFormatting sqref="L39:L42">
    <cfRule type="notContainsBlanks" dxfId="119" priority="206">
      <formula>LEN(TRIM(L39))&gt;0</formula>
    </cfRule>
    <cfRule type="containsBlanks" dxfId="118" priority="207">
      <formula>LEN(TRIM(L39))=0</formula>
    </cfRule>
  </conditionalFormatting>
  <conditionalFormatting sqref="L39:L42">
    <cfRule type="expression" dxfId="117" priority="205">
      <formula>AND($C39&lt;&gt;"",$C39&lt;&gt;"T Text")</formula>
    </cfRule>
  </conditionalFormatting>
  <conditionalFormatting sqref="C34">
    <cfRule type="notContainsBlanks" dxfId="116" priority="69">
      <formula>LEN(TRIM(C34))&gt;0</formula>
    </cfRule>
    <cfRule type="containsBlanks" dxfId="115" priority="70">
      <formula>LEN(TRIM(C34))=0</formula>
    </cfRule>
  </conditionalFormatting>
  <conditionalFormatting sqref="E23">
    <cfRule type="notContainsBlanks" dxfId="114" priority="67">
      <formula>LEN(TRIM(E23))&gt;0</formula>
    </cfRule>
    <cfRule type="containsBlanks" dxfId="113" priority="68">
      <formula>LEN(TRIM(E23))=0</formula>
    </cfRule>
  </conditionalFormatting>
  <conditionalFormatting sqref="E30">
    <cfRule type="notContainsBlanks" dxfId="112" priority="65">
      <formula>LEN(TRIM(E30))&gt;0</formula>
    </cfRule>
    <cfRule type="containsBlanks" dxfId="111" priority="66">
      <formula>LEN(TRIM(E30))=0</formula>
    </cfRule>
  </conditionalFormatting>
  <conditionalFormatting sqref="E32:E37">
    <cfRule type="notContainsBlanks" dxfId="110" priority="63">
      <formula>LEN(TRIM(E32))&gt;0</formula>
    </cfRule>
    <cfRule type="containsBlanks" dxfId="109" priority="64">
      <formula>LEN(TRIM(E32))=0</formula>
    </cfRule>
  </conditionalFormatting>
  <conditionalFormatting sqref="P23:P65">
    <cfRule type="notContainsBlanks" dxfId="108" priority="43">
      <formula>LEN(TRIM(P23))&gt;0</formula>
    </cfRule>
    <cfRule type="containsBlanks" dxfId="107" priority="44">
      <formula>LEN(TRIM(P23))=0</formula>
    </cfRule>
  </conditionalFormatting>
  <conditionalFormatting sqref="P23:P65">
    <cfRule type="expression" dxfId="106" priority="42">
      <formula>AND(#REF!&lt;&gt;"",#REF!&lt;&gt;"T Text")</formula>
    </cfRule>
  </conditionalFormatting>
  <conditionalFormatting sqref="J17">
    <cfRule type="expression" dxfId="105" priority="40">
      <formula>AND($J$17="",$L$5="Debetfaktura")</formula>
    </cfRule>
    <cfRule type="expression" dxfId="104" priority="41">
      <formula>AND($J$17&lt;&gt;"",$L$5="Debetfaktura")</formula>
    </cfRule>
  </conditionalFormatting>
  <conditionalFormatting sqref="I24:I65">
    <cfRule type="notContainsBlanks" dxfId="103" priority="38">
      <formula>LEN(TRIM(I24))&gt;0</formula>
    </cfRule>
    <cfRule type="containsBlanks" dxfId="102" priority="39">
      <formula>LEN(TRIM(I24))=0</formula>
    </cfRule>
  </conditionalFormatting>
  <conditionalFormatting sqref="I24:I65">
    <cfRule type="expression" dxfId="101" priority="37">
      <formula>AND(#REF!&lt;&gt;"",#REF!&lt;&gt;"T Text")</formula>
    </cfRule>
  </conditionalFormatting>
  <conditionalFormatting sqref="R23:T65">
    <cfRule type="notContainsBlanks" dxfId="100" priority="29">
      <formula>LEN(TRIM(R23))&gt;0</formula>
    </cfRule>
    <cfRule type="containsBlanks" dxfId="99" priority="30">
      <formula>LEN(TRIM(R23))=0</formula>
    </cfRule>
  </conditionalFormatting>
  <conditionalFormatting sqref="R23:T65">
    <cfRule type="expression" dxfId="98" priority="28">
      <formula>AND(#REF!&lt;&gt;"",#REF!&lt;&gt;"T Text")</formula>
    </cfRule>
  </conditionalFormatting>
  <conditionalFormatting sqref="Q23:Q65">
    <cfRule type="notContainsBlanks" dxfId="97" priority="32">
      <formula>LEN(TRIM(Q23))&gt;0</formula>
    </cfRule>
    <cfRule type="containsBlanks" dxfId="96" priority="33">
      <formula>LEN(TRIM(Q23))=0</formula>
    </cfRule>
  </conditionalFormatting>
  <conditionalFormatting sqref="Q23:Q65">
    <cfRule type="expression" dxfId="95" priority="31">
      <formula>AND(#REF!&lt;&gt;"",#REF!&lt;&gt;"T Text")</formula>
    </cfRule>
  </conditionalFormatting>
  <conditionalFormatting sqref="AA25:AA26">
    <cfRule type="notContainsBlanks" dxfId="94" priority="21">
      <formula>LEN(TRIM(AA25))&gt;0</formula>
    </cfRule>
    <cfRule type="containsBlanks" dxfId="93" priority="22">
      <formula>LEN(TRIM(AA25))=0</formula>
    </cfRule>
  </conditionalFormatting>
  <conditionalFormatting sqref="AA25:AA26">
    <cfRule type="expression" dxfId="92" priority="20">
      <formula>AND(#REF!&lt;&gt;"",#REF!&lt;&gt;"T Text")</formula>
    </cfRule>
  </conditionalFormatting>
  <conditionalFormatting sqref="AA28">
    <cfRule type="notContainsBlanks" dxfId="91" priority="7">
      <formula>LEN(TRIM(AA28))&gt;0</formula>
    </cfRule>
    <cfRule type="containsBlanks" dxfId="90" priority="8">
      <formula>LEN(TRIM(AA28))=0</formula>
    </cfRule>
  </conditionalFormatting>
  <conditionalFormatting sqref="AA28">
    <cfRule type="expression" dxfId="89" priority="6">
      <formula>AND(#REF!&lt;&gt;"",#REF!&lt;&gt;"T Text")</formula>
    </cfRule>
  </conditionalFormatting>
  <conditionalFormatting sqref="C26">
    <cfRule type="notContainsBlanks" dxfId="88" priority="3">
      <formula>LEN(TRIM(C26))&gt;0</formula>
    </cfRule>
    <cfRule type="containsBlanks" dxfId="87" priority="4">
      <formula>LEN(TRIM(C26))=0</formula>
    </cfRule>
  </conditionalFormatting>
  <conditionalFormatting sqref="D11:E11">
    <cfRule type="notContainsBlanks" dxfId="86" priority="1">
      <formula>LEN(TRIM(D11))&gt;0</formula>
    </cfRule>
    <cfRule type="containsBlanks" dxfId="85" priority="2">
      <formula>LEN(TRIM(D11))=0</formula>
    </cfRule>
  </conditionalFormatting>
  <dataValidations count="3">
    <dataValidation type="textLength" operator="lessThanOrEqual" allowBlank="1" showErrorMessage="1" error="Antal tecken får vara max 20." prompt="Antal tecken får vara max 20 tecken." sqref="G11" xr:uid="{00000000-0002-0000-0900-000000000000}">
      <formula1>20</formula1>
    </dataValidation>
    <dataValidation type="textLength" allowBlank="1" showInputMessage="1" showErrorMessage="1" error="Antal tecken får max vara 47 st." sqref="E39:H65" xr:uid="{00000000-0002-0000-0900-000001000000}">
      <formula1>0</formula1>
      <formula2>47</formula2>
    </dataValidation>
    <dataValidation type="list" allowBlank="1" showInputMessage="1" showErrorMessage="1" sqref="D5:E5" xr:uid="{00000000-0002-0000-0900-000002000000}">
      <formula1>#REF!</formula1>
    </dataValidation>
  </dataValidations>
  <pageMargins left="0.7" right="0.7" top="0.75" bottom="0.75" header="0.3" footer="0.3"/>
  <pageSetup paperSize="9"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703" id="{474A2B93-4834-45AE-853D-3F05817F324F}">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grupp'!#REF!,0))="x",P46="")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W46:W65</xm:sqref>
        </x14:conditionalFormatting>
        <x14:conditionalFormatting xmlns:xm="http://schemas.microsoft.com/office/excel/2006/main">
          <x14:cfRule type="expression" priority="702" id="{CFC779E2-6E60-45D5-85B2-25172AEB3550}">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grupp'!#REF!,0))="x",Q46="")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X46:X65</xm:sqref>
        </x14:conditionalFormatting>
        <x14:conditionalFormatting xmlns:xm="http://schemas.microsoft.com/office/excel/2006/main">
          <x14:cfRule type="expression" priority="701" id="{CA42DE73-76AB-42B0-861F-E605EC89DF49}">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grupp'!#REF!,0))="x",R46="")</xm:f>
            <x14:dxf>
              <fill>
                <patternFill patternType="gray0625">
                  <fgColor theme="0"/>
                  <bgColor rgb="FFFF0000"/>
                </patternFill>
              </fill>
              <border>
                <left style="thin">
                  <color auto="1"/>
                </left>
                <right style="thin">
                  <color auto="1"/>
                </right>
                <top style="thin">
                  <color auto="1"/>
                </top>
                <bottom style="thin">
                  <color auto="1"/>
                </bottom>
              </border>
            </x14:dxf>
          </x14:cfRule>
          <xm:sqref>Y46:Y65</xm:sqref>
        </x14:conditionalFormatting>
        <x14:conditionalFormatting xmlns:xm="http://schemas.microsoft.com/office/excel/2006/main">
          <x14:cfRule type="expression" priority="700" id="{CFE11C19-AFB3-423C-A510-C93BF3943AB2}">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grupp'!#REF!,0))="x",S46="")</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Z46:Z65</xm:sqref>
        </x14:conditionalFormatting>
        <x14:conditionalFormatting xmlns:xm="http://schemas.microsoft.com/office/excel/2006/main">
          <x14:cfRule type="expression" priority="699" id="{0C931D59-90F5-4128-AE3E-44B0CDEE8835}">
            <xm:f>AND(INDEX('office.ellevio.com\home\DATA\FORTUM\Elevio 180202\[Fakturamall.xlsm]Moms- och bokf grupp'!#REF!, MATCH(INDEX('office.ellevio.com\home\DATA\FORTUM\Elevio 180202\[Fakturamall.xlsm]Produkter'!#REF!, MATCH(VALUE(LEFT(C46,FIND(" ",C46,1)-1)),'office.ellevio.com\home\DATA\FORTUM\Elevio 180202\[Fakturamall.xlsm]Produkter'!#REF!,0)),'office.ellevio.com\home\DATA\FORTUM\Elevio 180202\[Fakturamall.xlsm]Moms- och bokf grupp'!#REF!,0))="x",T46="")</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AA46:AA65</xm:sqref>
        </x14:conditionalFormatting>
        <x14:conditionalFormatting xmlns:xm="http://schemas.microsoft.com/office/excel/2006/main">
          <x14:cfRule type="expression" priority="991" id="{CFC779E2-6E60-45D5-85B2-25172AEB3550}">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grupp'!#REF!,0))="x",O23="")</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V32:V37 V23:V30</xm:sqref>
        </x14:conditionalFormatting>
        <x14:conditionalFormatting xmlns:xm="http://schemas.microsoft.com/office/excel/2006/main">
          <x14:cfRule type="expression" priority="993" id="{CA42DE73-76AB-42B0-861F-E605EC89DF49}">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grupp'!#REF!,0))="x",P32="")</xm:f>
            <x14:dxf>
              <fill>
                <patternFill patternType="gray0625">
                  <fgColor theme="0"/>
                  <bgColor rgb="FFFF0000"/>
                </patternFill>
              </fill>
              <border>
                <left style="thin">
                  <color auto="1"/>
                </left>
                <right style="thin">
                  <color auto="1"/>
                </right>
                <top style="thin">
                  <color auto="1"/>
                </top>
                <bottom style="thin">
                  <color auto="1"/>
                </bottom>
              </border>
            </x14:dxf>
          </x14:cfRule>
          <xm:sqref>W32:W37</xm:sqref>
        </x14:conditionalFormatting>
        <x14:conditionalFormatting xmlns:xm="http://schemas.microsoft.com/office/excel/2006/main">
          <x14:cfRule type="expression" priority="995" id="{CFE11C19-AFB3-423C-A510-C93BF3943AB2}">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grupp'!#REF!,0))="x",Q23="")</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X32:X37 X23:X30</xm:sqref>
        </x14:conditionalFormatting>
        <x14:conditionalFormatting xmlns:xm="http://schemas.microsoft.com/office/excel/2006/main">
          <x14:cfRule type="expression" priority="997" id="{0C931D59-90F5-4128-AE3E-44B0CDEE8835}">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grupp'!#REF!,0))="x",R23="")</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Y32:Y37 Y23:Y30</xm:sqref>
        </x14:conditionalFormatting>
        <x14:conditionalFormatting xmlns:xm="http://schemas.microsoft.com/office/excel/2006/main">
          <x14:cfRule type="expression" priority="560" id="{675862C2-B231-4B4B-886D-7C37A196B552}">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grupp'!#REF!,0))="x",O38="")</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V38</xm:sqref>
        </x14:conditionalFormatting>
        <x14:conditionalFormatting xmlns:xm="http://schemas.microsoft.com/office/excel/2006/main">
          <x14:cfRule type="expression" priority="513" id="{EF06A3F4-4390-4E1A-A485-35FB6F6459BF}">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grupp'!#REF!,0))="x",P38="")</xm:f>
            <x14:dxf>
              <fill>
                <patternFill patternType="gray0625">
                  <fgColor theme="0"/>
                  <bgColor rgb="FFFF0000"/>
                </patternFill>
              </fill>
              <border>
                <left style="thin">
                  <color auto="1"/>
                </left>
                <right style="thin">
                  <color auto="1"/>
                </right>
                <top style="thin">
                  <color auto="1"/>
                </top>
                <bottom style="thin">
                  <color auto="1"/>
                </bottom>
              </border>
            </x14:dxf>
          </x14:cfRule>
          <xm:sqref>W38 Y38</xm:sqref>
        </x14:conditionalFormatting>
        <x14:conditionalFormatting xmlns:xm="http://schemas.microsoft.com/office/excel/2006/main">
          <x14:cfRule type="expression" priority="514" id="{B2A16FBC-0EF8-4652-B3C0-F077D3FE5498}">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grupp'!#REF!,0))="x",Q38="")</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X38</xm:sqref>
        </x14:conditionalFormatting>
        <x14:conditionalFormatting xmlns:xm="http://schemas.microsoft.com/office/excel/2006/main">
          <x14:cfRule type="expression" priority="356" id="{48DFF3C9-718B-4570-A9B0-B38552CE3EF4}">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grupp'!#REF!,0))="x",O31="")</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V31</xm:sqref>
        </x14:conditionalFormatting>
        <x14:conditionalFormatting xmlns:xm="http://schemas.microsoft.com/office/excel/2006/main">
          <x14:cfRule type="expression" priority="357" id="{539FF8B0-D237-46D8-912B-E2100C058496}">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grupp'!#REF!,0))="x",P31="")</xm:f>
            <x14:dxf>
              <fill>
                <patternFill patternType="gray0625">
                  <fgColor theme="0"/>
                  <bgColor rgb="FFFF0000"/>
                </patternFill>
              </fill>
              <border>
                <left style="thin">
                  <color auto="1"/>
                </left>
                <right style="thin">
                  <color auto="1"/>
                </right>
                <top style="thin">
                  <color auto="1"/>
                </top>
                <bottom style="thin">
                  <color auto="1"/>
                </bottom>
              </border>
            </x14:dxf>
          </x14:cfRule>
          <xm:sqref>W31</xm:sqref>
        </x14:conditionalFormatting>
        <x14:conditionalFormatting xmlns:xm="http://schemas.microsoft.com/office/excel/2006/main">
          <x14:cfRule type="expression" priority="358" id="{2F84B0AB-6C6C-4DD6-8F31-BC7C9A2578C8}">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grupp'!#REF!,0))="x",Q31="")</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X31</xm:sqref>
        </x14:conditionalFormatting>
        <x14:conditionalFormatting xmlns:xm="http://schemas.microsoft.com/office/excel/2006/main">
          <x14:cfRule type="expression" priority="359" id="{32C2D430-3703-472E-BD95-C311441C4E2B}">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grupp'!#REF!,0))="x",R31="")</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Y31</xm:sqref>
        </x14:conditionalFormatting>
        <x14:conditionalFormatting xmlns:xm="http://schemas.microsoft.com/office/excel/2006/main">
          <x14:cfRule type="expression" priority="240" id="{14B7E0E5-AC4B-493D-8171-CF3403ABCD66}">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grupp'!#REF!,0))="x",P39="")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W39:W45</xm:sqref>
        </x14:conditionalFormatting>
        <x14:conditionalFormatting xmlns:xm="http://schemas.microsoft.com/office/excel/2006/main">
          <x14:cfRule type="expression" priority="239" id="{9E76EEF6-1697-41BF-BC1A-396F33CCAE09}">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grupp'!#REF!,0))="x",Q39="")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X39:X45</xm:sqref>
        </x14:conditionalFormatting>
        <x14:conditionalFormatting xmlns:xm="http://schemas.microsoft.com/office/excel/2006/main">
          <x14:cfRule type="expression" priority="238" id="{2024E0A7-C728-4FCC-9B80-DCB9016105A5}">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grupp'!#REF!,0))="x",R39="")</xm:f>
            <x14:dxf>
              <fill>
                <patternFill patternType="gray0625">
                  <fgColor theme="0"/>
                  <bgColor rgb="FFFF0000"/>
                </patternFill>
              </fill>
              <border>
                <left style="thin">
                  <color auto="1"/>
                </left>
                <right style="thin">
                  <color auto="1"/>
                </right>
                <top style="thin">
                  <color auto="1"/>
                </top>
                <bottom style="thin">
                  <color auto="1"/>
                </bottom>
              </border>
            </x14:dxf>
          </x14:cfRule>
          <xm:sqref>Y39:Y45</xm:sqref>
        </x14:conditionalFormatting>
        <x14:conditionalFormatting xmlns:xm="http://schemas.microsoft.com/office/excel/2006/main">
          <x14:cfRule type="expression" priority="237" id="{6776DE49-15F6-4FA4-81D8-FCD1B3558FE4}">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grupp'!#REF!,0))="x",S39="")</xm:f>
            <x14:dxf>
              <fill>
                <patternFill patternType="gray0625">
                  <fgColor theme="0"/>
                  <bgColor rgb="FFFF0000"/>
                </patternFill>
              </fill>
              <border>
                <left style="thin">
                  <color theme="1"/>
                </left>
                <right style="thin">
                  <color theme="1"/>
                </right>
                <top style="thin">
                  <color theme="1"/>
                </top>
                <bottom style="thin">
                  <color theme="1"/>
                </bottom>
                <vertical/>
                <horizontal/>
              </border>
            </x14:dxf>
          </x14:cfRule>
          <xm:sqref>Z39:Z45</xm:sqref>
        </x14:conditionalFormatting>
        <x14:conditionalFormatting xmlns:xm="http://schemas.microsoft.com/office/excel/2006/main">
          <x14:cfRule type="expression" priority="236" id="{96CBB8EF-05A4-42B0-9B55-30E13516BDAE}">
            <xm:f>AND(INDEX('office.ellevio.com\home\DATA\FORTUM\Elevio 180202\[Fakturamall.xlsm]Moms- och bokf grupp'!#REF!, MATCH(INDEX('office.ellevio.com\home\DATA\FORTUM\Elevio 180202\[Fakturamall.xlsm]Produkter'!#REF!, MATCH(VALUE(LEFT(C39,FIND(" ",C39,1)-1)),'office.ellevio.com\home\DATA\FORTUM\Elevio 180202\[Fakturamall.xlsm]Produkter'!#REF!,0)),'office.ellevio.com\home\DATA\FORTUM\Elevio 180202\[Fakturamall.xlsm]Moms- och bokf grupp'!#REF!,0))="x",T39="")</xm:f>
            <x14:dxf>
              <fill>
                <patternFill patternType="gray0625">
                  <fgColor theme="0"/>
                  <bgColor rgb="FFFF0000"/>
                </patternFill>
              </fill>
              <border>
                <left style="thin">
                  <color auto="1"/>
                </left>
                <right style="thin">
                  <color auto="1"/>
                </right>
                <top style="thin">
                  <color auto="1"/>
                </top>
                <bottom style="thin">
                  <color auto="1"/>
                </bottom>
                <vertical/>
                <horizontal/>
              </border>
            </x14:dxf>
          </x14:cfRule>
          <xm:sqref>AA39:AA45</xm:sqref>
        </x14:conditionalFormatting>
        <x14:conditionalFormatting xmlns:xm="http://schemas.microsoft.com/office/excel/2006/main">
          <x14:cfRule type="expression" priority="1002" id="{CA42DE73-76AB-42B0-861F-E605EC89DF49}">
            <xm:f>AND(INDEX('office.ellevio.com\home\DATA\FORTUM\Elevio 180202\[Fakturamall.xlsm]Moms- och bokf grupp'!#REF!, MATCH(INDEX('office.ellevio.com\home\DATA\FORTUM\Elevio 180202\[Fakturamall.xlsm]Produkter'!#REF!, MATCH(VALUE(LEFT(#REF!,FIND(" ",#REF!,1)-1)),'office.ellevio.com\home\DATA\FORTUM\Elevio 180202\[Fakturamall.xlsm]Produkter'!#REF!,0)),'office.ellevio.com\home\DATA\FORTUM\Elevio 180202\[Fakturamall.xlsm]Moms- och bokf grupp'!#REF!,0))="x",P24="")</xm:f>
            <x14:dxf>
              <fill>
                <patternFill patternType="gray0625">
                  <fgColor theme="0"/>
                  <bgColor rgb="FFFF0000"/>
                </patternFill>
              </fill>
              <border>
                <left style="thin">
                  <color auto="1"/>
                </left>
                <right style="thin">
                  <color auto="1"/>
                </right>
                <top style="thin">
                  <color auto="1"/>
                </top>
                <bottom style="thin">
                  <color auto="1"/>
                </bottom>
              </border>
            </x14:dxf>
          </x14:cfRule>
          <xm:sqref>W23:W30</xm:sqref>
        </x14:conditionalFormatting>
        <x14:conditionalFormatting xmlns:xm="http://schemas.microsoft.com/office/excel/2006/main">
          <x14:cfRule type="expression" priority="27" id="{B6386F0C-4D9F-4D9F-B65B-95883DE9BCBE}">
            <xm:f>AND(INDEX('Moms- och bokf grupp'!S:S, MATCH(INDEX(Produkter!E:E, MATCH(VALUE(LEFT(C23,FIND(" ",C23,1)-1)),Produkter!C:C,0)),'Moms- och bokf grupp'!B:B,0))="x",P23="")</xm:f>
            <x14:dxf>
              <fill>
                <patternFill patternType="gray0625">
                  <fgColor theme="0"/>
                  <bgColor rgb="FFFF0000"/>
                </patternFill>
              </fill>
            </x14:dxf>
          </x14:cfRule>
          <xm:sqref>W23:W65</xm:sqref>
        </x14:conditionalFormatting>
        <x14:conditionalFormatting xmlns:xm="http://schemas.microsoft.com/office/excel/2006/main">
          <x14:cfRule type="expression" priority="26" id="{B4FFA9C7-A665-45A5-881D-15FBE326ED70}">
            <xm:f>AND(INDEX('Moms- och bokf grupp'!T:T, MATCH(INDEX(Produkter!E:E, MATCH(VALUE(LEFT(C23,FIND(" ",C23,1)-1)),Produkter!C:C,0)),'Moms- och bokf grupp'!B:B,0))="x",Q23="")</xm:f>
            <x14:dxf>
              <fill>
                <patternFill patternType="gray0625">
                  <fgColor theme="0"/>
                  <bgColor rgb="FFFF0000"/>
                </patternFill>
              </fill>
            </x14:dxf>
          </x14:cfRule>
          <xm:sqref>X23:X65</xm:sqref>
        </x14:conditionalFormatting>
        <x14:conditionalFormatting xmlns:xm="http://schemas.microsoft.com/office/excel/2006/main">
          <x14:cfRule type="expression" priority="25" id="{40C04C78-9D45-4BAA-A160-99C70691F246}">
            <xm:f>AND(INDEX('Moms- och bokf grupp'!U:U, MATCH(INDEX(Produkter!E:E, MATCH(VALUE(LEFT(C23,FIND(" ",C23,1)-1)),Produkter!C:C,0)),'Moms- och bokf grupp'!B:B,0))="x",R23="")</xm:f>
            <x14:dxf>
              <fill>
                <patternFill patternType="gray0625">
                  <fgColor theme="0"/>
                  <bgColor rgb="FFFF0000"/>
                </patternFill>
              </fill>
            </x14:dxf>
          </x14:cfRule>
          <xm:sqref>Y23:Y65</xm:sqref>
        </x14:conditionalFormatting>
        <x14:conditionalFormatting xmlns:xm="http://schemas.microsoft.com/office/excel/2006/main">
          <x14:cfRule type="expression" priority="24" id="{784CF452-7D13-4FA0-85CA-C5D9EAA08BAB}">
            <xm:f>AND(INDEX('Moms- och bokf grupp'!V:V, MATCH(INDEX(Produkter!E:E, MATCH(VALUE(LEFT(C23,FIND(" ",C23,1)-1)),Produkter!C:C,0)),'Moms- och bokf grupp'!B:B,0))="x",S23="")</xm:f>
            <x14:dxf>
              <fill>
                <patternFill patternType="gray0625">
                  <fgColor theme="0"/>
                  <bgColor rgb="FFFF0000"/>
                </patternFill>
              </fill>
            </x14:dxf>
          </x14:cfRule>
          <xm:sqref>Z23:Z65</xm:sqref>
        </x14:conditionalFormatting>
        <x14:conditionalFormatting xmlns:xm="http://schemas.microsoft.com/office/excel/2006/main">
          <x14:cfRule type="expression" priority="23" id="{144BCF25-263D-43AA-9224-E630D2EACE1E}">
            <xm:f>AND(INDEX('Moms- och bokf grupp'!W:W, MATCH(INDEX(Produkter!E:E, MATCH(VALUE(LEFT(C23,FIND(" ",C23,1)-1)),Produkter!C:C,0)),'Moms- och bokf grupp'!B:B,0))="x",T23="")</xm:f>
            <x14:dxf>
              <fill>
                <patternFill patternType="gray0625">
                  <fgColor theme="0"/>
                  <bgColor rgb="FFFF0000"/>
                </patternFill>
              </fill>
            </x14:dxf>
          </x14:cfRule>
          <xm:sqref>AA23:AA65</xm:sqref>
        </x14:conditionalFormatting>
        <x14:conditionalFormatting xmlns:xm="http://schemas.microsoft.com/office/excel/2006/main">
          <x14:cfRule type="expression" priority="1014" id="{144BCF25-263D-43AA-9224-E630D2EACE1E}">
            <xm:f>AND(INDEX('Moms- och bokf grupp'!W:W, MATCH(INDEX(Produkter!E:E, MATCH(VALUE(LEFT(C26,FIND(" ",C26,1)-1)),Produkter!C:C,0)),'Moms- och bokf grupp'!B:B,0))="x",T26="")</xm:f>
            <x14:dxf>
              <fill>
                <patternFill patternType="gray0625">
                  <fgColor theme="0"/>
                  <bgColor rgb="FFFF0000"/>
                </patternFill>
              </fill>
            </x14:dxf>
          </x14:cfRule>
          <xm:sqref>AA30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3000000}">
          <x14:formula1>
            <xm:f>Produkter!$M$2:$M$52</xm:f>
          </x14:formula1>
          <xm:sqref>C23:D23 C31:D65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7">
    <tabColor theme="0" tint="-0.34998626667073579"/>
  </sheetPr>
  <dimension ref="A2:F957"/>
  <sheetViews>
    <sheetView workbookViewId="0" xr3:uid="{65FA3815-DCC1-5481-872F-D2879ED395ED}"/>
  </sheetViews>
  <sheetFormatPr defaultRowHeight="12.75"/>
  <cols>
    <col min="1" max="1" width="9.140625" style="1" customWidth="1"/>
    <col min="2" max="2" width="9.5703125" style="1" bestFit="1" customWidth="1"/>
    <col min="3" max="3" width="9.140625" style="1" customWidth="1"/>
    <col min="4" max="4" width="12.28515625" style="1" bestFit="1" customWidth="1"/>
    <col min="5" max="6" width="9.140625" style="1" customWidth="1"/>
  </cols>
  <sheetData>
    <row r="2" spans="1:2">
      <c r="A2" s="1" t="s">
        <v>483</v>
      </c>
      <c r="B2" s="1" t="s">
        <v>484</v>
      </c>
    </row>
    <row r="3" spans="1:2">
      <c r="A3" s="1" t="s">
        <v>485</v>
      </c>
    </row>
    <row r="4" spans="1:2">
      <c r="A4" s="1" t="s">
        <v>486</v>
      </c>
      <c r="B4" s="1">
        <v>15417</v>
      </c>
    </row>
    <row r="5" spans="1:2">
      <c r="A5" s="1" t="s">
        <v>487</v>
      </c>
      <c r="B5" s="1">
        <v>17036</v>
      </c>
    </row>
    <row r="6" spans="1:2">
      <c r="A6" s="1" t="s">
        <v>488</v>
      </c>
      <c r="B6" s="1">
        <v>18655</v>
      </c>
    </row>
    <row r="7" spans="1:2">
      <c r="A7" s="1" t="s">
        <v>489</v>
      </c>
      <c r="B7" s="1">
        <v>20273</v>
      </c>
    </row>
    <row r="8" spans="1:2">
      <c r="A8" s="1" t="s">
        <v>490</v>
      </c>
      <c r="B8" s="1">
        <v>21410</v>
      </c>
    </row>
    <row r="9" spans="1:2">
      <c r="A9" s="1" t="s">
        <v>491</v>
      </c>
      <c r="B9" s="1">
        <v>22773</v>
      </c>
    </row>
    <row r="10" spans="1:2">
      <c r="A10" s="1" t="s">
        <v>492</v>
      </c>
      <c r="B10" s="1">
        <v>24137</v>
      </c>
    </row>
    <row r="11" spans="1:2">
      <c r="A11" s="1" t="s">
        <v>493</v>
      </c>
      <c r="B11" s="1">
        <v>25501</v>
      </c>
    </row>
    <row r="12" spans="1:2">
      <c r="A12" s="1" t="s">
        <v>494</v>
      </c>
      <c r="B12" s="1">
        <v>26865</v>
      </c>
    </row>
    <row r="13" spans="1:2">
      <c r="A13" s="1" t="s">
        <v>495</v>
      </c>
      <c r="B13" s="1">
        <v>28228</v>
      </c>
    </row>
    <row r="14" spans="1:2">
      <c r="A14" s="1" t="s">
        <v>496</v>
      </c>
      <c r="B14" s="1">
        <v>29592</v>
      </c>
    </row>
    <row r="15" spans="1:2">
      <c r="A15" s="1" t="s">
        <v>497</v>
      </c>
      <c r="B15" s="1">
        <v>30956</v>
      </c>
    </row>
    <row r="16" spans="1:2">
      <c r="A16" s="1" t="s">
        <v>498</v>
      </c>
      <c r="B16" s="1">
        <v>32320</v>
      </c>
    </row>
    <row r="17" spans="1:2">
      <c r="A17" s="1" t="s">
        <v>499</v>
      </c>
      <c r="B17" s="1">
        <v>33684</v>
      </c>
    </row>
    <row r="18" spans="1:2">
      <c r="A18" s="1" t="s">
        <v>500</v>
      </c>
      <c r="B18" s="1">
        <v>35047</v>
      </c>
    </row>
    <row r="19" spans="1:2">
      <c r="A19" s="1" t="s">
        <v>501</v>
      </c>
      <c r="B19" s="1">
        <v>36411</v>
      </c>
    </row>
    <row r="20" spans="1:2">
      <c r="A20" s="1" t="s">
        <v>502</v>
      </c>
      <c r="B20" s="1">
        <v>37775</v>
      </c>
    </row>
    <row r="21" spans="1:2">
      <c r="A21" s="1" t="s">
        <v>503</v>
      </c>
      <c r="B21" s="1">
        <v>39193</v>
      </c>
    </row>
    <row r="22" spans="1:2">
      <c r="A22" s="1" t="s">
        <v>504</v>
      </c>
      <c r="B22" s="1">
        <v>40503</v>
      </c>
    </row>
    <row r="23" spans="1:2">
      <c r="A23" s="1" t="s">
        <v>505</v>
      </c>
      <c r="B23" s="1">
        <v>41866</v>
      </c>
    </row>
    <row r="24" spans="1:2">
      <c r="A24" s="1" t="s">
        <v>506</v>
      </c>
      <c r="B24" s="1">
        <v>17935</v>
      </c>
    </row>
    <row r="25" spans="1:2">
      <c r="A25" s="1" t="s">
        <v>507</v>
      </c>
      <c r="B25" s="1">
        <v>19554</v>
      </c>
    </row>
    <row r="26" spans="1:2">
      <c r="A26" s="1" t="s">
        <v>508</v>
      </c>
      <c r="B26" s="1">
        <v>21173</v>
      </c>
    </row>
    <row r="27" spans="1:2">
      <c r="A27" s="1" t="s">
        <v>509</v>
      </c>
      <c r="B27" s="1">
        <v>22309</v>
      </c>
    </row>
    <row r="28" spans="1:2">
      <c r="A28" s="1" t="s">
        <v>510</v>
      </c>
      <c r="B28" s="1">
        <v>23673</v>
      </c>
    </row>
    <row r="29" spans="1:2">
      <c r="A29" s="1" t="s">
        <v>511</v>
      </c>
      <c r="B29" s="1">
        <v>25036</v>
      </c>
    </row>
    <row r="30" spans="1:2">
      <c r="A30" s="1" t="s">
        <v>512</v>
      </c>
      <c r="B30" s="1">
        <v>26400</v>
      </c>
    </row>
    <row r="31" spans="1:2">
      <c r="A31" s="1" t="s">
        <v>513</v>
      </c>
      <c r="B31" s="1">
        <v>27764</v>
      </c>
    </row>
    <row r="32" spans="1:2">
      <c r="A32" s="1" t="s">
        <v>514</v>
      </c>
      <c r="B32" s="1">
        <v>29128</v>
      </c>
    </row>
    <row r="33" spans="1:2">
      <c r="A33" s="1" t="s">
        <v>515</v>
      </c>
      <c r="B33" s="1">
        <v>30491</v>
      </c>
    </row>
    <row r="34" spans="1:2">
      <c r="A34" s="1" t="s">
        <v>516</v>
      </c>
      <c r="B34" s="1">
        <v>31855</v>
      </c>
    </row>
    <row r="35" spans="1:2">
      <c r="A35" s="1" t="s">
        <v>517</v>
      </c>
      <c r="B35" s="1">
        <v>33219</v>
      </c>
    </row>
    <row r="36" spans="1:2">
      <c r="A36" s="1" t="s">
        <v>518</v>
      </c>
      <c r="B36" s="1">
        <v>34583</v>
      </c>
    </row>
    <row r="37" spans="1:2">
      <c r="A37" s="1" t="s">
        <v>519</v>
      </c>
      <c r="B37" s="1">
        <v>35947</v>
      </c>
    </row>
    <row r="38" spans="1:2">
      <c r="A38" s="1" t="s">
        <v>520</v>
      </c>
      <c r="B38" s="1">
        <v>37310</v>
      </c>
    </row>
    <row r="39" spans="1:2">
      <c r="A39" s="1" t="s">
        <v>521</v>
      </c>
      <c r="B39" s="1">
        <v>38674</v>
      </c>
    </row>
    <row r="40" spans="1:2">
      <c r="A40" s="1" t="s">
        <v>522</v>
      </c>
      <c r="B40" s="1">
        <v>40038</v>
      </c>
    </row>
    <row r="41" spans="1:2">
      <c r="A41" s="1" t="s">
        <v>523</v>
      </c>
      <c r="B41" s="1">
        <v>41402</v>
      </c>
    </row>
    <row r="42" spans="1:2">
      <c r="A42" s="1" t="s">
        <v>524</v>
      </c>
      <c r="B42" s="1">
        <v>42766</v>
      </c>
    </row>
    <row r="43" spans="1:2">
      <c r="A43" s="1" t="s">
        <v>525</v>
      </c>
      <c r="B43" s="1">
        <v>20453</v>
      </c>
    </row>
    <row r="44" spans="1:2">
      <c r="A44" s="1" t="s">
        <v>526</v>
      </c>
      <c r="B44" s="1">
        <v>22072</v>
      </c>
    </row>
    <row r="45" spans="1:2">
      <c r="A45" s="1" t="s">
        <v>527</v>
      </c>
      <c r="B45" s="1">
        <v>23208</v>
      </c>
    </row>
    <row r="46" spans="1:2">
      <c r="A46" s="1" t="s">
        <v>528</v>
      </c>
      <c r="B46" s="1">
        <v>24572</v>
      </c>
    </row>
    <row r="47" spans="1:2">
      <c r="A47" s="1" t="s">
        <v>529</v>
      </c>
      <c r="B47" s="1">
        <v>25935</v>
      </c>
    </row>
    <row r="48" spans="1:2">
      <c r="A48" s="1" t="s">
        <v>530</v>
      </c>
      <c r="B48" s="1">
        <v>27299</v>
      </c>
    </row>
    <row r="49" spans="1:2">
      <c r="A49" s="1" t="s">
        <v>531</v>
      </c>
      <c r="B49" s="1">
        <v>28663</v>
      </c>
    </row>
    <row r="50" spans="1:2">
      <c r="A50" s="1" t="s">
        <v>532</v>
      </c>
      <c r="B50" s="1">
        <v>30027</v>
      </c>
    </row>
    <row r="51" spans="1:2">
      <c r="A51" s="1" t="s">
        <v>533</v>
      </c>
      <c r="B51" s="1">
        <v>31391</v>
      </c>
    </row>
    <row r="52" spans="1:2">
      <c r="A52" s="1" t="s">
        <v>534</v>
      </c>
      <c r="B52" s="1">
        <v>32754</v>
      </c>
    </row>
    <row r="53" spans="1:2">
      <c r="A53" s="1" t="s">
        <v>535</v>
      </c>
      <c r="B53" s="1">
        <v>34118</v>
      </c>
    </row>
    <row r="54" spans="1:2">
      <c r="A54" s="1" t="s">
        <v>536</v>
      </c>
      <c r="B54" s="1">
        <v>35482</v>
      </c>
    </row>
    <row r="55" spans="1:2">
      <c r="A55" s="1" t="s">
        <v>537</v>
      </c>
      <c r="B55" s="1">
        <v>36846</v>
      </c>
    </row>
    <row r="56" spans="1:2">
      <c r="A56" s="1" t="s">
        <v>538</v>
      </c>
      <c r="B56" s="1">
        <v>38210</v>
      </c>
    </row>
    <row r="57" spans="1:2">
      <c r="A57" s="1" t="s">
        <v>539</v>
      </c>
      <c r="B57" s="1">
        <v>39573</v>
      </c>
    </row>
    <row r="58" spans="1:2">
      <c r="A58" s="1" t="s">
        <v>540</v>
      </c>
      <c r="B58" s="1">
        <v>40937</v>
      </c>
    </row>
    <row r="59" spans="1:2">
      <c r="A59" s="1" t="s">
        <v>541</v>
      </c>
      <c r="B59" s="1">
        <v>42301</v>
      </c>
    </row>
    <row r="60" spans="1:2">
      <c r="A60" s="1" t="s">
        <v>542</v>
      </c>
      <c r="B60" s="1">
        <v>44155</v>
      </c>
    </row>
    <row r="61" spans="1:2">
      <c r="A61" s="1" t="s">
        <v>543</v>
      </c>
      <c r="B61" s="1">
        <v>22971</v>
      </c>
    </row>
    <row r="62" spans="1:2">
      <c r="A62" s="1" t="s">
        <v>544</v>
      </c>
      <c r="B62" s="1">
        <v>24107</v>
      </c>
    </row>
    <row r="63" spans="1:2">
      <c r="A63" s="1" t="s">
        <v>545</v>
      </c>
      <c r="B63" s="1">
        <v>25471</v>
      </c>
    </row>
    <row r="64" spans="1:2">
      <c r="A64" s="1" t="s">
        <v>546</v>
      </c>
      <c r="B64" s="1">
        <v>26835</v>
      </c>
    </row>
    <row r="65" spans="1:2">
      <c r="A65" s="1" t="s">
        <v>547</v>
      </c>
      <c r="B65" s="1">
        <v>28198</v>
      </c>
    </row>
    <row r="66" spans="1:2">
      <c r="A66" s="1" t="s">
        <v>548</v>
      </c>
      <c r="B66" s="1">
        <v>29562</v>
      </c>
    </row>
    <row r="67" spans="1:2">
      <c r="A67" s="1" t="s">
        <v>549</v>
      </c>
      <c r="B67" s="1">
        <v>30926</v>
      </c>
    </row>
    <row r="68" spans="1:2">
      <c r="A68" s="1" t="s">
        <v>550</v>
      </c>
      <c r="B68" s="1">
        <v>32290</v>
      </c>
    </row>
    <row r="69" spans="1:2">
      <c r="A69" s="1" t="s">
        <v>551</v>
      </c>
      <c r="B69" s="1">
        <v>33654</v>
      </c>
    </row>
    <row r="70" spans="1:2">
      <c r="A70" s="1" t="s">
        <v>552</v>
      </c>
      <c r="B70" s="1">
        <v>35017</v>
      </c>
    </row>
    <row r="71" spans="1:2">
      <c r="A71" s="1" t="s">
        <v>553</v>
      </c>
      <c r="B71" s="1">
        <v>36381</v>
      </c>
    </row>
    <row r="72" spans="1:2">
      <c r="A72" s="1" t="s">
        <v>554</v>
      </c>
      <c r="B72" s="1">
        <v>37745</v>
      </c>
    </row>
    <row r="73" spans="1:2">
      <c r="A73" s="1" t="s">
        <v>555</v>
      </c>
      <c r="B73" s="1">
        <v>39109</v>
      </c>
    </row>
    <row r="74" spans="1:2">
      <c r="A74" s="1" t="s">
        <v>556</v>
      </c>
      <c r="B74" s="1">
        <v>40473</v>
      </c>
    </row>
    <row r="75" spans="1:2">
      <c r="A75" s="1" t="s">
        <v>557</v>
      </c>
      <c r="B75" s="1">
        <v>41836</v>
      </c>
    </row>
    <row r="76" spans="1:2">
      <c r="A76" s="1" t="s">
        <v>558</v>
      </c>
      <c r="B76" s="1">
        <v>43200</v>
      </c>
    </row>
    <row r="77" spans="1:2">
      <c r="A77" s="1" t="s">
        <v>559</v>
      </c>
      <c r="B77" s="1">
        <v>45055</v>
      </c>
    </row>
    <row r="78" spans="1:2">
      <c r="A78" s="1" t="s">
        <v>560</v>
      </c>
      <c r="B78" s="1">
        <v>25006</v>
      </c>
    </row>
    <row r="79" spans="1:2">
      <c r="A79" s="1" t="s">
        <v>561</v>
      </c>
      <c r="B79" s="1">
        <v>26370</v>
      </c>
    </row>
    <row r="80" spans="1:2">
      <c r="A80" s="1" t="s">
        <v>562</v>
      </c>
      <c r="B80" s="1">
        <v>27734</v>
      </c>
    </row>
    <row r="81" spans="1:2">
      <c r="A81" s="1" t="s">
        <v>563</v>
      </c>
      <c r="B81" s="1">
        <v>29098</v>
      </c>
    </row>
    <row r="82" spans="1:2">
      <c r="A82" s="1" t="s">
        <v>564</v>
      </c>
      <c r="B82" s="1">
        <v>30461</v>
      </c>
    </row>
    <row r="83" spans="1:2">
      <c r="A83" s="1" t="s">
        <v>565</v>
      </c>
      <c r="B83" s="1">
        <v>31825</v>
      </c>
    </row>
    <row r="84" spans="1:2">
      <c r="A84" s="1" t="s">
        <v>566</v>
      </c>
      <c r="B84" s="1">
        <v>33189</v>
      </c>
    </row>
    <row r="85" spans="1:2">
      <c r="A85" s="1" t="s">
        <v>567</v>
      </c>
      <c r="B85" s="1">
        <v>34553</v>
      </c>
    </row>
    <row r="86" spans="1:2">
      <c r="A86" s="1" t="s">
        <v>568</v>
      </c>
      <c r="B86" s="1">
        <v>35917</v>
      </c>
    </row>
    <row r="87" spans="1:2">
      <c r="A87" s="1" t="s">
        <v>569</v>
      </c>
      <c r="B87" s="1">
        <v>37280</v>
      </c>
    </row>
    <row r="88" spans="1:2">
      <c r="A88" s="1" t="s">
        <v>570</v>
      </c>
      <c r="B88" s="1">
        <v>38644</v>
      </c>
    </row>
    <row r="89" spans="1:2">
      <c r="A89" s="1" t="s">
        <v>571</v>
      </c>
      <c r="B89">
        <v>40008</v>
      </c>
    </row>
    <row r="90" spans="1:2">
      <c r="A90" s="1" t="s">
        <v>572</v>
      </c>
      <c r="B90">
        <v>41372</v>
      </c>
    </row>
    <row r="91" spans="1:2">
      <c r="A91" s="1" t="s">
        <v>573</v>
      </c>
      <c r="B91">
        <v>42736</v>
      </c>
    </row>
    <row r="92" spans="1:2">
      <c r="A92" s="1" t="s">
        <v>574</v>
      </c>
      <c r="B92">
        <v>44099</v>
      </c>
    </row>
    <row r="93" spans="1:2">
      <c r="A93" s="1" t="s">
        <v>575</v>
      </c>
      <c r="B93">
        <v>45954</v>
      </c>
    </row>
    <row r="94" spans="1:2">
      <c r="A94" s="1" t="s">
        <v>576</v>
      </c>
      <c r="B94" s="1">
        <v>27269</v>
      </c>
    </row>
    <row r="95" spans="1:2">
      <c r="A95" s="1" t="s">
        <v>577</v>
      </c>
      <c r="B95" s="1">
        <v>28633</v>
      </c>
    </row>
    <row r="96" spans="1:2">
      <c r="A96" s="1" t="s">
        <v>578</v>
      </c>
      <c r="B96" s="1">
        <v>29997</v>
      </c>
    </row>
    <row r="97" spans="1:2">
      <c r="A97" s="1" t="s">
        <v>579</v>
      </c>
      <c r="B97" s="1">
        <v>31361</v>
      </c>
    </row>
    <row r="98" spans="1:2">
      <c r="A98" s="1" t="s">
        <v>580</v>
      </c>
      <c r="B98" s="1">
        <v>32724</v>
      </c>
    </row>
    <row r="99" spans="1:2">
      <c r="A99" s="1" t="s">
        <v>581</v>
      </c>
      <c r="B99" s="1">
        <v>34088</v>
      </c>
    </row>
    <row r="100" spans="1:2">
      <c r="A100" s="1" t="s">
        <v>582</v>
      </c>
      <c r="B100" s="1">
        <v>35452</v>
      </c>
    </row>
    <row r="101" spans="1:2">
      <c r="A101" s="1" t="s">
        <v>583</v>
      </c>
      <c r="B101" s="1">
        <v>36816</v>
      </c>
    </row>
    <row r="102" spans="1:2">
      <c r="A102" s="1" t="s">
        <v>584</v>
      </c>
      <c r="B102" s="1">
        <v>38180</v>
      </c>
    </row>
    <row r="103" spans="1:2">
      <c r="A103" s="1" t="s">
        <v>585</v>
      </c>
      <c r="B103" s="1">
        <v>39543</v>
      </c>
    </row>
    <row r="104" spans="1:2">
      <c r="A104" s="1" t="s">
        <v>586</v>
      </c>
      <c r="B104" s="1">
        <v>40907</v>
      </c>
    </row>
    <row r="105" spans="1:2">
      <c r="A105" s="1" t="s">
        <v>587</v>
      </c>
      <c r="B105" s="1">
        <v>42271</v>
      </c>
    </row>
    <row r="106" spans="1:2">
      <c r="A106" s="1" t="s">
        <v>588</v>
      </c>
      <c r="B106" s="1">
        <v>43635</v>
      </c>
    </row>
    <row r="107" spans="1:2">
      <c r="A107" s="1" t="s">
        <v>589</v>
      </c>
      <c r="B107" s="1">
        <v>44999</v>
      </c>
    </row>
    <row r="108" spans="1:2">
      <c r="A108" s="1" t="s">
        <v>590</v>
      </c>
      <c r="B108" s="1">
        <v>46855</v>
      </c>
    </row>
    <row r="109" spans="1:2">
      <c r="A109" s="1" t="s">
        <v>591</v>
      </c>
      <c r="B109" s="1">
        <v>29532</v>
      </c>
    </row>
    <row r="110" spans="1:2">
      <c r="A110" s="1" t="s">
        <v>592</v>
      </c>
      <c r="B110" s="1">
        <v>30896</v>
      </c>
    </row>
    <row r="111" spans="1:2">
      <c r="A111" s="1" t="s">
        <v>593</v>
      </c>
      <c r="B111" s="1">
        <v>32260</v>
      </c>
    </row>
    <row r="112" spans="1:2">
      <c r="A112" s="1" t="s">
        <v>594</v>
      </c>
      <c r="B112" s="1">
        <v>33624</v>
      </c>
    </row>
    <row r="113" spans="1:2">
      <c r="A113" s="1" t="s">
        <v>595</v>
      </c>
      <c r="B113" s="1">
        <v>34987</v>
      </c>
    </row>
    <row r="114" spans="1:2">
      <c r="A114" s="1" t="s">
        <v>596</v>
      </c>
      <c r="B114" s="1">
        <v>36351</v>
      </c>
    </row>
    <row r="115" spans="1:2">
      <c r="A115" s="1" t="s">
        <v>597</v>
      </c>
      <c r="B115" s="1">
        <v>37715</v>
      </c>
    </row>
    <row r="116" spans="1:2">
      <c r="A116" s="1" t="s">
        <v>598</v>
      </c>
      <c r="B116" s="1">
        <v>39079</v>
      </c>
    </row>
    <row r="117" spans="1:2">
      <c r="A117" s="1" t="s">
        <v>599</v>
      </c>
      <c r="B117" s="1">
        <v>40443</v>
      </c>
    </row>
    <row r="118" spans="1:2">
      <c r="A118" s="1" t="s">
        <v>600</v>
      </c>
      <c r="B118" s="1">
        <v>41806</v>
      </c>
    </row>
    <row r="119" spans="1:2">
      <c r="A119" s="1" t="s">
        <v>601</v>
      </c>
      <c r="B119" s="1">
        <v>43170</v>
      </c>
    </row>
    <row r="120" spans="1:2">
      <c r="A120" s="1" t="s">
        <v>602</v>
      </c>
      <c r="B120" s="1">
        <v>44534</v>
      </c>
    </row>
    <row r="121" spans="1:2">
      <c r="A121" s="1" t="s">
        <v>603</v>
      </c>
      <c r="B121" s="1">
        <v>45898</v>
      </c>
    </row>
    <row r="122" spans="1:2">
      <c r="A122" s="1" t="s">
        <v>604</v>
      </c>
      <c r="B122" s="1">
        <v>47752</v>
      </c>
    </row>
    <row r="123" spans="1:2">
      <c r="A123" s="1" t="s">
        <v>605</v>
      </c>
      <c r="B123" s="1">
        <v>31795</v>
      </c>
    </row>
    <row r="124" spans="1:2">
      <c r="A124" s="1" t="s">
        <v>606</v>
      </c>
      <c r="B124" s="1">
        <v>33159</v>
      </c>
    </row>
    <row r="125" spans="1:2" ht="11.25" customHeight="1">
      <c r="A125" s="1" t="s">
        <v>607</v>
      </c>
      <c r="B125" s="1">
        <v>34523</v>
      </c>
    </row>
    <row r="126" spans="1:2">
      <c r="A126" s="1" t="s">
        <v>608</v>
      </c>
      <c r="B126" s="1">
        <v>35887</v>
      </c>
    </row>
    <row r="127" spans="1:2">
      <c r="A127" s="1" t="s">
        <v>609</v>
      </c>
      <c r="B127" s="1">
        <v>37250</v>
      </c>
    </row>
    <row r="128" spans="1:2">
      <c r="A128" s="1" t="s">
        <v>610</v>
      </c>
      <c r="B128" s="1">
        <v>38614</v>
      </c>
    </row>
    <row r="129" spans="1:2">
      <c r="A129" s="1" t="s">
        <v>611</v>
      </c>
      <c r="B129" s="1">
        <v>39978</v>
      </c>
    </row>
    <row r="130" spans="1:2">
      <c r="A130" s="1" t="s">
        <v>612</v>
      </c>
      <c r="B130" s="1">
        <v>41342</v>
      </c>
    </row>
    <row r="131" spans="1:2">
      <c r="A131" s="1" t="s">
        <v>613</v>
      </c>
      <c r="B131" s="1">
        <v>42706</v>
      </c>
    </row>
    <row r="132" spans="1:2">
      <c r="A132" s="1" t="s">
        <v>614</v>
      </c>
      <c r="B132" s="1">
        <v>44069</v>
      </c>
    </row>
    <row r="133" spans="1:2">
      <c r="A133" s="1" t="s">
        <v>615</v>
      </c>
      <c r="B133" s="1">
        <v>45433</v>
      </c>
    </row>
    <row r="134" spans="1:2">
      <c r="A134" s="1" t="s">
        <v>616</v>
      </c>
      <c r="B134" s="1">
        <v>46797</v>
      </c>
    </row>
    <row r="135" spans="1:2">
      <c r="A135" s="1" t="s">
        <v>617</v>
      </c>
      <c r="B135" s="1">
        <v>48651</v>
      </c>
    </row>
    <row r="136" spans="1:2">
      <c r="A136" s="1" t="s">
        <v>618</v>
      </c>
      <c r="B136" s="1">
        <v>34058</v>
      </c>
    </row>
    <row r="137" spans="1:2">
      <c r="A137" s="1" t="s">
        <v>619</v>
      </c>
      <c r="B137" s="1">
        <v>35422</v>
      </c>
    </row>
    <row r="138" spans="1:2">
      <c r="A138" s="1" t="s">
        <v>620</v>
      </c>
      <c r="B138" s="1">
        <v>36786</v>
      </c>
    </row>
    <row r="139" spans="1:2">
      <c r="A139" s="1" t="s">
        <v>621</v>
      </c>
      <c r="B139" s="1">
        <v>38150</v>
      </c>
    </row>
    <row r="140" spans="1:2">
      <c r="A140" s="1" t="s">
        <v>622</v>
      </c>
      <c r="B140" s="1">
        <v>39513</v>
      </c>
    </row>
    <row r="141" spans="1:2">
      <c r="A141" s="1" t="s">
        <v>623</v>
      </c>
      <c r="B141" s="1">
        <v>40877</v>
      </c>
    </row>
    <row r="142" spans="1:2">
      <c r="A142" s="1" t="s">
        <v>624</v>
      </c>
      <c r="B142" s="1">
        <v>42241</v>
      </c>
    </row>
    <row r="143" spans="1:2">
      <c r="A143" s="1" t="s">
        <v>625</v>
      </c>
      <c r="B143" s="1">
        <v>43605</v>
      </c>
    </row>
    <row r="144" spans="1:2">
      <c r="A144" s="1" t="s">
        <v>626</v>
      </c>
      <c r="B144" s="1">
        <v>44969</v>
      </c>
    </row>
    <row r="145" spans="1:2">
      <c r="A145" s="1" t="s">
        <v>627</v>
      </c>
      <c r="B145" s="1">
        <v>46332</v>
      </c>
    </row>
    <row r="146" spans="1:2">
      <c r="A146" s="1" t="s">
        <v>628</v>
      </c>
      <c r="B146" s="1">
        <v>47696</v>
      </c>
    </row>
    <row r="147" spans="1:2">
      <c r="A147" s="1" t="s">
        <v>629</v>
      </c>
      <c r="B147" s="1">
        <v>49551</v>
      </c>
    </row>
    <row r="148" spans="1:2">
      <c r="A148" s="1" t="s">
        <v>630</v>
      </c>
      <c r="B148" s="1">
        <v>36321</v>
      </c>
    </row>
    <row r="149" spans="1:2">
      <c r="A149" s="1" t="s">
        <v>631</v>
      </c>
      <c r="B149" s="1">
        <v>37685</v>
      </c>
    </row>
    <row r="150" spans="1:2">
      <c r="A150" s="1" t="s">
        <v>632</v>
      </c>
      <c r="B150" s="1">
        <v>39049</v>
      </c>
    </row>
    <row r="151" spans="1:2">
      <c r="A151" s="1" t="s">
        <v>633</v>
      </c>
      <c r="B151" s="1">
        <v>40413</v>
      </c>
    </row>
    <row r="152" spans="1:2">
      <c r="A152" s="1" t="s">
        <v>634</v>
      </c>
      <c r="B152" s="1">
        <v>41776</v>
      </c>
    </row>
    <row r="153" spans="1:2">
      <c r="A153" s="1" t="s">
        <v>635</v>
      </c>
      <c r="B153" s="1">
        <v>43140</v>
      </c>
    </row>
    <row r="154" spans="1:2">
      <c r="A154" s="1" t="s">
        <v>636</v>
      </c>
      <c r="B154" s="1">
        <v>44504</v>
      </c>
    </row>
    <row r="155" spans="1:2">
      <c r="A155" s="1" t="s">
        <v>637</v>
      </c>
      <c r="B155" s="1">
        <v>45868</v>
      </c>
    </row>
    <row r="156" spans="1:2">
      <c r="A156" s="1" t="s">
        <v>638</v>
      </c>
      <c r="B156" s="1">
        <v>47232</v>
      </c>
    </row>
    <row r="157" spans="1:2">
      <c r="A157" s="1" t="s">
        <v>639</v>
      </c>
      <c r="B157" s="1">
        <v>48595</v>
      </c>
    </row>
    <row r="158" spans="1:2">
      <c r="A158" s="1" t="s">
        <v>640</v>
      </c>
      <c r="B158" s="1">
        <v>50450</v>
      </c>
    </row>
    <row r="159" spans="1:2">
      <c r="A159" s="1" t="s">
        <v>641</v>
      </c>
    </row>
    <row r="160" spans="1:2">
      <c r="A160" s="1" t="s">
        <v>642</v>
      </c>
      <c r="B160" s="1">
        <v>19002</v>
      </c>
    </row>
    <row r="161" spans="1:2">
      <c r="A161" s="1" t="s">
        <v>643</v>
      </c>
      <c r="B161" s="1">
        <v>20826</v>
      </c>
    </row>
    <row r="162" spans="1:2">
      <c r="A162" s="1" t="s">
        <v>644</v>
      </c>
      <c r="B162" s="1">
        <v>22650</v>
      </c>
    </row>
    <row r="163" spans="1:2">
      <c r="A163" s="1" t="s">
        <v>645</v>
      </c>
      <c r="B163" s="1">
        <v>24474</v>
      </c>
    </row>
    <row r="164" spans="1:2">
      <c r="A164" s="1" t="s">
        <v>646</v>
      </c>
      <c r="B164" s="1">
        <v>25863</v>
      </c>
    </row>
    <row r="165" spans="1:2">
      <c r="A165" s="1" t="s">
        <v>647</v>
      </c>
      <c r="B165" s="1">
        <v>27536</v>
      </c>
    </row>
    <row r="166" spans="1:2">
      <c r="A166" s="1" t="s">
        <v>648</v>
      </c>
      <c r="B166" s="1">
        <v>29209</v>
      </c>
    </row>
    <row r="167" spans="1:2">
      <c r="A167" s="1" t="s">
        <v>649</v>
      </c>
      <c r="B167" s="1">
        <v>30882</v>
      </c>
    </row>
    <row r="168" spans="1:2">
      <c r="A168" s="1" t="s">
        <v>650</v>
      </c>
      <c r="B168" s="1">
        <v>32556</v>
      </c>
    </row>
    <row r="169" spans="1:2">
      <c r="A169" s="1" t="s">
        <v>651</v>
      </c>
      <c r="B169" s="1">
        <v>34229</v>
      </c>
    </row>
    <row r="170" spans="1:2">
      <c r="A170" s="1" t="s">
        <v>652</v>
      </c>
      <c r="B170" s="1">
        <v>35902</v>
      </c>
    </row>
    <row r="171" spans="1:2">
      <c r="A171" s="1" t="s">
        <v>653</v>
      </c>
      <c r="B171" s="1">
        <v>37576</v>
      </c>
    </row>
    <row r="172" spans="1:2">
      <c r="A172" s="1" t="s">
        <v>654</v>
      </c>
      <c r="B172" s="1">
        <v>39249</v>
      </c>
    </row>
    <row r="173" spans="1:2">
      <c r="A173" s="1" t="s">
        <v>655</v>
      </c>
      <c r="B173" s="1">
        <v>40922</v>
      </c>
    </row>
    <row r="174" spans="1:2">
      <c r="A174" s="1" t="s">
        <v>656</v>
      </c>
      <c r="B174" s="1">
        <v>42596</v>
      </c>
    </row>
    <row r="175" spans="1:2">
      <c r="A175" s="1" t="s">
        <v>657</v>
      </c>
      <c r="B175" s="1">
        <v>44269</v>
      </c>
    </row>
    <row r="176" spans="1:2">
      <c r="A176" s="1" t="s">
        <v>658</v>
      </c>
      <c r="B176" s="1">
        <v>45942</v>
      </c>
    </row>
    <row r="177" spans="1:2">
      <c r="A177" s="1" t="s">
        <v>659</v>
      </c>
      <c r="B177" s="1">
        <v>47616</v>
      </c>
    </row>
    <row r="178" spans="1:2">
      <c r="A178" s="1" t="s">
        <v>660</v>
      </c>
      <c r="B178" s="1">
        <v>49289</v>
      </c>
    </row>
    <row r="179" spans="1:2">
      <c r="A179" s="1" t="s">
        <v>661</v>
      </c>
      <c r="B179" s="1">
        <v>50962</v>
      </c>
    </row>
    <row r="180" spans="1:2">
      <c r="A180" s="1" t="s">
        <v>662</v>
      </c>
      <c r="B180" s="1">
        <v>21912</v>
      </c>
    </row>
    <row r="181" spans="1:2">
      <c r="A181" s="1" t="s">
        <v>663</v>
      </c>
      <c r="B181" s="1">
        <v>23737</v>
      </c>
    </row>
    <row r="182" spans="1:2">
      <c r="A182" s="1" t="s">
        <v>664</v>
      </c>
      <c r="B182" s="1">
        <v>25561</v>
      </c>
    </row>
    <row r="183" spans="1:2">
      <c r="A183" s="1" t="s">
        <v>665</v>
      </c>
      <c r="B183" s="1">
        <v>26949</v>
      </c>
    </row>
    <row r="184" spans="1:2">
      <c r="A184" s="1" t="s">
        <v>666</v>
      </c>
      <c r="B184" s="1">
        <v>28622</v>
      </c>
    </row>
    <row r="185" spans="1:2">
      <c r="A185" s="1" t="s">
        <v>667</v>
      </c>
      <c r="B185" s="1">
        <v>30295</v>
      </c>
    </row>
    <row r="186" spans="1:2">
      <c r="A186" s="1" t="s">
        <v>668</v>
      </c>
      <c r="B186" s="1">
        <v>31969</v>
      </c>
    </row>
    <row r="187" spans="1:2">
      <c r="A187" s="1" t="s">
        <v>669</v>
      </c>
      <c r="B187" s="1">
        <v>33642</v>
      </c>
    </row>
    <row r="188" spans="1:2">
      <c r="A188" s="1" t="s">
        <v>670</v>
      </c>
      <c r="B188" s="1">
        <v>35315</v>
      </c>
    </row>
    <row r="189" spans="1:2">
      <c r="A189" s="1" t="s">
        <v>671</v>
      </c>
      <c r="B189" s="1">
        <v>36989</v>
      </c>
    </row>
    <row r="190" spans="1:2">
      <c r="A190" s="1" t="s">
        <v>672</v>
      </c>
      <c r="B190" s="1">
        <v>38662</v>
      </c>
    </row>
    <row r="191" spans="1:2">
      <c r="A191" s="1" t="s">
        <v>673</v>
      </c>
      <c r="B191" s="1">
        <v>40335</v>
      </c>
    </row>
    <row r="192" spans="1:2">
      <c r="A192" s="1" t="s">
        <v>674</v>
      </c>
      <c r="B192" s="1">
        <v>42009</v>
      </c>
    </row>
    <row r="193" spans="1:2">
      <c r="A193" s="1" t="s">
        <v>675</v>
      </c>
      <c r="B193" s="1">
        <v>43682</v>
      </c>
    </row>
    <row r="194" spans="1:2">
      <c r="A194" s="1" t="s">
        <v>676</v>
      </c>
      <c r="B194" s="1">
        <v>45355</v>
      </c>
    </row>
    <row r="195" spans="1:2">
      <c r="A195" s="1" t="s">
        <v>677</v>
      </c>
      <c r="B195" s="1">
        <v>47028</v>
      </c>
    </row>
    <row r="196" spans="1:2">
      <c r="A196" s="1" t="s">
        <v>678</v>
      </c>
      <c r="B196" s="1">
        <v>48702</v>
      </c>
    </row>
    <row r="197" spans="1:2">
      <c r="A197" s="1" t="s">
        <v>679</v>
      </c>
      <c r="B197" s="1">
        <v>50375</v>
      </c>
    </row>
    <row r="198" spans="1:2">
      <c r="A198" s="1" t="s">
        <v>680</v>
      </c>
      <c r="B198" s="1">
        <v>52048</v>
      </c>
    </row>
    <row r="199" spans="1:2">
      <c r="A199" s="1" t="s">
        <v>681</v>
      </c>
      <c r="B199" s="1">
        <v>24823</v>
      </c>
    </row>
    <row r="200" spans="1:2">
      <c r="A200" s="1" t="s">
        <v>682</v>
      </c>
      <c r="B200" s="1">
        <v>26647</v>
      </c>
    </row>
    <row r="201" spans="1:2">
      <c r="A201" s="1" t="s">
        <v>683</v>
      </c>
      <c r="B201" s="1">
        <v>28035</v>
      </c>
    </row>
    <row r="202" spans="1:2">
      <c r="A202" s="1" t="s">
        <v>684</v>
      </c>
      <c r="B202" s="1">
        <v>29708</v>
      </c>
    </row>
    <row r="203" spans="1:2">
      <c r="A203" s="1" t="s">
        <v>685</v>
      </c>
      <c r="B203" s="1">
        <v>31382</v>
      </c>
    </row>
    <row r="204" spans="1:2">
      <c r="A204" s="1" t="s">
        <v>686</v>
      </c>
      <c r="B204" s="1">
        <v>33055</v>
      </c>
    </row>
    <row r="205" spans="1:2">
      <c r="A205" s="1" t="s">
        <v>687</v>
      </c>
      <c r="B205" s="1">
        <v>34728</v>
      </c>
    </row>
    <row r="206" spans="1:2">
      <c r="A206" s="1" t="s">
        <v>688</v>
      </c>
      <c r="B206" s="1">
        <v>36402</v>
      </c>
    </row>
    <row r="207" spans="1:2">
      <c r="A207" s="1" t="s">
        <v>689</v>
      </c>
      <c r="B207" s="1">
        <v>38075</v>
      </c>
    </row>
    <row r="208" spans="1:2">
      <c r="A208" s="1" t="s">
        <v>690</v>
      </c>
      <c r="B208" s="1">
        <v>39748</v>
      </c>
    </row>
    <row r="209" spans="1:2">
      <c r="A209" s="1" t="s">
        <v>691</v>
      </c>
      <c r="B209" s="1">
        <v>41421</v>
      </c>
    </row>
    <row r="210" spans="1:2">
      <c r="A210" s="1" t="s">
        <v>692</v>
      </c>
      <c r="B210" s="1">
        <v>43095</v>
      </c>
    </row>
    <row r="211" spans="1:2">
      <c r="A211" s="1" t="s">
        <v>693</v>
      </c>
      <c r="B211" s="1">
        <v>44768</v>
      </c>
    </row>
    <row r="212" spans="1:2">
      <c r="A212" s="1" t="s">
        <v>694</v>
      </c>
      <c r="B212" s="1">
        <v>46441</v>
      </c>
    </row>
    <row r="213" spans="1:2">
      <c r="A213" s="1" t="s">
        <v>695</v>
      </c>
      <c r="B213" s="1">
        <v>48115</v>
      </c>
    </row>
    <row r="214" spans="1:2">
      <c r="A214" s="1" t="s">
        <v>696</v>
      </c>
      <c r="B214" s="1">
        <v>49788</v>
      </c>
    </row>
    <row r="215" spans="1:2">
      <c r="A215" s="1" t="s">
        <v>697</v>
      </c>
      <c r="B215" s="1">
        <v>51461</v>
      </c>
    </row>
    <row r="216" spans="1:2">
      <c r="A216" s="1" t="s">
        <v>698</v>
      </c>
      <c r="B216" s="1">
        <v>53661</v>
      </c>
    </row>
    <row r="217" spans="1:2">
      <c r="A217" s="1" t="s">
        <v>699</v>
      </c>
      <c r="B217" s="1">
        <v>27733</v>
      </c>
    </row>
    <row r="218" spans="1:2">
      <c r="A218" s="1" t="s">
        <v>700</v>
      </c>
      <c r="B218" s="1">
        <v>29121</v>
      </c>
    </row>
    <row r="219" spans="1:2">
      <c r="A219" s="1" t="s">
        <v>701</v>
      </c>
      <c r="B219" s="1">
        <v>30795</v>
      </c>
    </row>
    <row r="220" spans="1:2">
      <c r="A220" s="1" t="s">
        <v>702</v>
      </c>
      <c r="B220" s="1">
        <v>32468</v>
      </c>
    </row>
    <row r="221" spans="1:2">
      <c r="A221" s="1" t="s">
        <v>703</v>
      </c>
      <c r="B221" s="1">
        <v>34141</v>
      </c>
    </row>
    <row r="222" spans="1:2">
      <c r="A222" s="1" t="s">
        <v>704</v>
      </c>
      <c r="B222" s="1">
        <v>35814</v>
      </c>
    </row>
    <row r="223" spans="1:2">
      <c r="A223" s="1" t="s">
        <v>705</v>
      </c>
      <c r="B223" s="1">
        <v>37488</v>
      </c>
    </row>
    <row r="224" spans="1:2">
      <c r="A224" s="1" t="s">
        <v>706</v>
      </c>
      <c r="B224" s="1">
        <v>39161</v>
      </c>
    </row>
    <row r="225" spans="1:2">
      <c r="A225" s="1" t="s">
        <v>707</v>
      </c>
      <c r="B225" s="1">
        <v>40834</v>
      </c>
    </row>
    <row r="226" spans="1:2">
      <c r="A226" s="1" t="s">
        <v>708</v>
      </c>
      <c r="B226" s="1">
        <v>42508</v>
      </c>
    </row>
    <row r="227" spans="1:2">
      <c r="A227" s="1" t="s">
        <v>709</v>
      </c>
      <c r="B227" s="1">
        <v>44181</v>
      </c>
    </row>
    <row r="228" spans="1:2">
      <c r="A228" s="1" t="s">
        <v>710</v>
      </c>
      <c r="B228" s="1">
        <v>45854</v>
      </c>
    </row>
    <row r="229" spans="1:2">
      <c r="A229" s="1" t="s">
        <v>711</v>
      </c>
      <c r="B229" s="1">
        <v>47528</v>
      </c>
    </row>
    <row r="230" spans="1:2">
      <c r="A230" s="1" t="s">
        <v>712</v>
      </c>
      <c r="B230" s="1">
        <v>49201</v>
      </c>
    </row>
    <row r="231" spans="1:2">
      <c r="A231" s="1" t="s">
        <v>713</v>
      </c>
      <c r="B231" s="1">
        <v>50874</v>
      </c>
    </row>
    <row r="232" spans="1:2">
      <c r="A232" s="1" t="s">
        <v>714</v>
      </c>
      <c r="B232" s="1">
        <v>52547</v>
      </c>
    </row>
    <row r="233" spans="1:2">
      <c r="A233" s="1" t="s">
        <v>715</v>
      </c>
      <c r="B233" s="1">
        <v>54747</v>
      </c>
    </row>
    <row r="234" spans="1:2">
      <c r="A234" s="1" t="s">
        <v>716</v>
      </c>
      <c r="B234" s="1">
        <v>30207</v>
      </c>
    </row>
    <row r="235" spans="1:2">
      <c r="A235" s="1" t="s">
        <v>717</v>
      </c>
      <c r="B235" s="1">
        <v>31881</v>
      </c>
    </row>
    <row r="236" spans="1:2">
      <c r="A236" s="1" t="s">
        <v>718</v>
      </c>
      <c r="B236" s="1">
        <v>33554</v>
      </c>
    </row>
    <row r="237" spans="1:2">
      <c r="A237" s="1" t="s">
        <v>719</v>
      </c>
      <c r="B237" s="1">
        <v>35227</v>
      </c>
    </row>
    <row r="238" spans="1:2">
      <c r="A238" s="1" t="s">
        <v>720</v>
      </c>
      <c r="B238" s="1">
        <v>36901</v>
      </c>
    </row>
    <row r="239" spans="1:2">
      <c r="A239" s="1" t="s">
        <v>721</v>
      </c>
      <c r="B239" s="1">
        <v>38574</v>
      </c>
    </row>
    <row r="240" spans="1:2">
      <c r="A240" s="1" t="s">
        <v>722</v>
      </c>
      <c r="B240" s="1">
        <v>40247</v>
      </c>
    </row>
    <row r="241" spans="1:2">
      <c r="A241" s="1" t="s">
        <v>723</v>
      </c>
      <c r="B241" s="1">
        <v>41921</v>
      </c>
    </row>
    <row r="242" spans="1:2">
      <c r="A242" s="1" t="s">
        <v>724</v>
      </c>
      <c r="B242" s="1">
        <v>43594</v>
      </c>
    </row>
    <row r="243" spans="1:2">
      <c r="A243" s="1" t="s">
        <v>725</v>
      </c>
      <c r="B243" s="1">
        <v>45267</v>
      </c>
    </row>
    <row r="244" spans="1:2">
      <c r="A244" s="1" t="s">
        <v>726</v>
      </c>
      <c r="B244" s="1">
        <v>46940</v>
      </c>
    </row>
    <row r="245" spans="1:2">
      <c r="A245" s="1" t="s">
        <v>727</v>
      </c>
      <c r="B245" s="1">
        <v>48614</v>
      </c>
    </row>
    <row r="246" spans="1:2">
      <c r="A246" s="1" t="s">
        <v>728</v>
      </c>
      <c r="B246" s="1">
        <v>50287</v>
      </c>
    </row>
    <row r="247" spans="1:2">
      <c r="A247" s="1" t="s">
        <v>729</v>
      </c>
      <c r="B247" s="1">
        <v>51960</v>
      </c>
    </row>
    <row r="248" spans="1:2">
      <c r="A248" s="1" t="s">
        <v>730</v>
      </c>
      <c r="B248" s="1">
        <v>53634</v>
      </c>
    </row>
    <row r="249" spans="1:2">
      <c r="A249" s="1" t="s">
        <v>731</v>
      </c>
      <c r="B249" s="1">
        <v>55833</v>
      </c>
    </row>
    <row r="250" spans="1:2">
      <c r="A250" s="1" t="s">
        <v>732</v>
      </c>
      <c r="B250" s="1">
        <v>32967</v>
      </c>
    </row>
    <row r="251" spans="1:2">
      <c r="A251" s="1" t="s">
        <v>733</v>
      </c>
      <c r="B251" s="1">
        <v>34640</v>
      </c>
    </row>
    <row r="252" spans="1:2">
      <c r="A252" s="1" t="s">
        <v>734</v>
      </c>
      <c r="B252" s="1">
        <v>36314</v>
      </c>
    </row>
    <row r="253" spans="1:2">
      <c r="A253" s="1" t="s">
        <v>735</v>
      </c>
      <c r="B253" s="1">
        <v>37987</v>
      </c>
    </row>
    <row r="254" spans="1:2">
      <c r="A254" s="1" t="s">
        <v>736</v>
      </c>
      <c r="B254" s="1">
        <v>39660</v>
      </c>
    </row>
    <row r="255" spans="1:2">
      <c r="A255" s="1" t="s">
        <v>737</v>
      </c>
      <c r="B255" s="1">
        <v>41333</v>
      </c>
    </row>
    <row r="256" spans="1:2">
      <c r="A256" s="1" t="s">
        <v>738</v>
      </c>
      <c r="B256" s="1">
        <v>43007</v>
      </c>
    </row>
    <row r="257" spans="1:2">
      <c r="A257" s="1" t="s">
        <v>739</v>
      </c>
      <c r="B257" s="1">
        <v>44680</v>
      </c>
    </row>
    <row r="258" spans="1:2">
      <c r="A258" s="1" t="s">
        <v>740</v>
      </c>
      <c r="B258" s="1">
        <v>46353</v>
      </c>
    </row>
    <row r="259" spans="1:2">
      <c r="A259" s="1" t="s">
        <v>741</v>
      </c>
      <c r="B259" s="1">
        <v>48027</v>
      </c>
    </row>
    <row r="260" spans="1:2">
      <c r="A260" s="1" t="s">
        <v>742</v>
      </c>
      <c r="B260" s="1">
        <v>49700</v>
      </c>
    </row>
    <row r="261" spans="1:2">
      <c r="A261" s="1" t="s">
        <v>743</v>
      </c>
      <c r="B261" s="1">
        <v>51373</v>
      </c>
    </row>
    <row r="262" spans="1:2">
      <c r="A262" s="1" t="s">
        <v>744</v>
      </c>
      <c r="B262" s="1">
        <v>53047</v>
      </c>
    </row>
    <row r="263" spans="1:2">
      <c r="A263" s="1" t="s">
        <v>745</v>
      </c>
      <c r="B263" s="1">
        <v>54720</v>
      </c>
    </row>
    <row r="264" spans="1:2">
      <c r="A264" s="1" t="s">
        <v>746</v>
      </c>
      <c r="B264" s="1">
        <v>56920</v>
      </c>
    </row>
    <row r="265" spans="1:2">
      <c r="A265" s="1" t="s">
        <v>747</v>
      </c>
      <c r="B265" s="1">
        <v>35727</v>
      </c>
    </row>
    <row r="266" spans="1:2">
      <c r="A266" s="1" t="s">
        <v>748</v>
      </c>
      <c r="B266" s="1">
        <v>37400</v>
      </c>
    </row>
    <row r="267" spans="1:2">
      <c r="A267" s="1" t="s">
        <v>749</v>
      </c>
      <c r="B267" s="1">
        <v>39073</v>
      </c>
    </row>
    <row r="268" spans="1:2">
      <c r="A268" s="1" t="s">
        <v>750</v>
      </c>
      <c r="B268" s="1">
        <v>40746</v>
      </c>
    </row>
    <row r="269" spans="1:2">
      <c r="A269" s="1" t="s">
        <v>751</v>
      </c>
      <c r="B269" s="1">
        <v>42420</v>
      </c>
    </row>
    <row r="270" spans="1:2">
      <c r="A270" s="1" t="s">
        <v>752</v>
      </c>
      <c r="B270" s="1">
        <v>44093</v>
      </c>
    </row>
    <row r="271" spans="1:2">
      <c r="A271" s="1" t="s">
        <v>753</v>
      </c>
      <c r="B271" s="1">
        <v>45766</v>
      </c>
    </row>
    <row r="272" spans="1:2">
      <c r="A272" s="1" t="s">
        <v>754</v>
      </c>
      <c r="B272" s="1">
        <v>47440</v>
      </c>
    </row>
    <row r="273" spans="1:2">
      <c r="A273" s="1" t="s">
        <v>755</v>
      </c>
      <c r="B273" s="1">
        <v>49113</v>
      </c>
    </row>
    <row r="274" spans="1:2">
      <c r="A274" s="1" t="s">
        <v>756</v>
      </c>
      <c r="B274" s="1">
        <v>50786</v>
      </c>
    </row>
    <row r="275" spans="1:2">
      <c r="A275" s="1" t="s">
        <v>757</v>
      </c>
      <c r="B275" s="1">
        <v>52460</v>
      </c>
    </row>
    <row r="276" spans="1:2">
      <c r="A276" s="1" t="s">
        <v>758</v>
      </c>
      <c r="B276" s="1">
        <v>54133</v>
      </c>
    </row>
    <row r="277" spans="1:2">
      <c r="A277" s="1" t="s">
        <v>759</v>
      </c>
      <c r="B277" s="1">
        <v>55806</v>
      </c>
    </row>
    <row r="278" spans="1:2">
      <c r="A278" s="1" t="s">
        <v>760</v>
      </c>
      <c r="B278" s="1">
        <v>58006</v>
      </c>
    </row>
    <row r="279" spans="1:2">
      <c r="A279" s="1" t="s">
        <v>761</v>
      </c>
      <c r="B279" s="1">
        <v>38486</v>
      </c>
    </row>
    <row r="280" spans="1:2">
      <c r="A280" s="1" t="s">
        <v>762</v>
      </c>
      <c r="B280" s="1">
        <v>40159</v>
      </c>
    </row>
    <row r="281" spans="1:2">
      <c r="A281" s="1" t="s">
        <v>763</v>
      </c>
      <c r="B281" s="1">
        <v>41833</v>
      </c>
    </row>
    <row r="282" spans="1:2">
      <c r="A282" s="1" t="s">
        <v>764</v>
      </c>
      <c r="B282" s="1">
        <v>43506</v>
      </c>
    </row>
    <row r="283" spans="1:2">
      <c r="A283" s="1" t="s">
        <v>765</v>
      </c>
      <c r="B283" s="1">
        <v>45179</v>
      </c>
    </row>
    <row r="284" spans="1:2">
      <c r="A284" s="1" t="s">
        <v>766</v>
      </c>
      <c r="B284" s="1">
        <v>46853</v>
      </c>
    </row>
    <row r="285" spans="1:2">
      <c r="A285" s="1" t="s">
        <v>767</v>
      </c>
      <c r="B285" s="1">
        <v>48526</v>
      </c>
    </row>
    <row r="286" spans="1:2">
      <c r="A286" s="1" t="s">
        <v>768</v>
      </c>
      <c r="B286" s="1">
        <v>50199</v>
      </c>
    </row>
    <row r="287" spans="1:2">
      <c r="A287" s="1" t="s">
        <v>769</v>
      </c>
      <c r="B287" s="1">
        <v>51872</v>
      </c>
    </row>
    <row r="288" spans="1:2">
      <c r="A288" s="1" t="s">
        <v>770</v>
      </c>
      <c r="B288" s="1">
        <v>53546</v>
      </c>
    </row>
    <row r="289" spans="1:2">
      <c r="A289" s="1" t="s">
        <v>771</v>
      </c>
      <c r="B289" s="1">
        <v>55219</v>
      </c>
    </row>
    <row r="290" spans="1:2">
      <c r="A290" s="1" t="s">
        <v>772</v>
      </c>
      <c r="B290" s="1">
        <v>56892</v>
      </c>
    </row>
    <row r="291" spans="1:2">
      <c r="A291" s="1" t="s">
        <v>773</v>
      </c>
      <c r="B291" s="1">
        <v>59092</v>
      </c>
    </row>
    <row r="292" spans="1:2">
      <c r="A292" s="1" t="s">
        <v>774</v>
      </c>
      <c r="B292" s="1">
        <v>41246</v>
      </c>
    </row>
    <row r="293" spans="1:2">
      <c r="A293" s="1" t="s">
        <v>775</v>
      </c>
      <c r="B293" s="1">
        <v>42919</v>
      </c>
    </row>
    <row r="294" spans="1:2">
      <c r="A294" s="1" t="s">
        <v>776</v>
      </c>
      <c r="B294" s="1">
        <v>44592</v>
      </c>
    </row>
    <row r="295" spans="1:2">
      <c r="A295" s="1" t="s">
        <v>777</v>
      </c>
      <c r="B295" s="1">
        <v>46265</v>
      </c>
    </row>
    <row r="296" spans="1:2">
      <c r="A296" s="1" t="s">
        <v>778</v>
      </c>
      <c r="B296" s="1">
        <v>47939</v>
      </c>
    </row>
    <row r="297" spans="1:2">
      <c r="A297" s="1" t="s">
        <v>779</v>
      </c>
      <c r="B297" s="1">
        <v>49612</v>
      </c>
    </row>
    <row r="298" spans="1:2">
      <c r="A298" s="1" t="s">
        <v>780</v>
      </c>
      <c r="B298" s="1">
        <v>51285</v>
      </c>
    </row>
    <row r="299" spans="1:2">
      <c r="A299" s="1" t="s">
        <v>781</v>
      </c>
      <c r="B299" s="1">
        <v>52959</v>
      </c>
    </row>
    <row r="300" spans="1:2">
      <c r="A300" s="1" t="s">
        <v>782</v>
      </c>
      <c r="B300" s="1">
        <v>54632</v>
      </c>
    </row>
    <row r="301" spans="1:2">
      <c r="A301" s="1" t="s">
        <v>783</v>
      </c>
      <c r="B301" s="1">
        <v>56305</v>
      </c>
    </row>
    <row r="302" spans="1:2">
      <c r="A302" s="1" t="s">
        <v>784</v>
      </c>
      <c r="B302" s="1">
        <v>57979</v>
      </c>
    </row>
    <row r="303" spans="1:2">
      <c r="A303" s="1" t="s">
        <v>785</v>
      </c>
      <c r="B303" s="1">
        <v>60178</v>
      </c>
    </row>
    <row r="304" spans="1:2">
      <c r="A304" s="1" t="s">
        <v>786</v>
      </c>
      <c r="B304" s="1">
        <v>44005</v>
      </c>
    </row>
    <row r="305" spans="1:2">
      <c r="A305" s="1" t="s">
        <v>787</v>
      </c>
      <c r="B305" s="1">
        <v>45678</v>
      </c>
    </row>
    <row r="306" spans="1:2">
      <c r="A306" s="1" t="s">
        <v>788</v>
      </c>
      <c r="B306" s="1">
        <v>47352</v>
      </c>
    </row>
    <row r="307" spans="1:2">
      <c r="A307" s="1" t="s">
        <v>789</v>
      </c>
      <c r="B307" s="1">
        <v>49025</v>
      </c>
    </row>
    <row r="308" spans="1:2">
      <c r="A308" s="1" t="s">
        <v>790</v>
      </c>
      <c r="B308" s="1">
        <v>50698</v>
      </c>
    </row>
    <row r="309" spans="1:2">
      <c r="A309" s="1" t="s">
        <v>791</v>
      </c>
      <c r="B309" s="1">
        <v>52372</v>
      </c>
    </row>
    <row r="310" spans="1:2">
      <c r="A310" s="1" t="s">
        <v>792</v>
      </c>
      <c r="B310" s="1">
        <v>54045</v>
      </c>
    </row>
    <row r="311" spans="1:2">
      <c r="A311" s="1" t="s">
        <v>793</v>
      </c>
      <c r="B311" s="1">
        <v>55718</v>
      </c>
    </row>
    <row r="312" spans="1:2">
      <c r="A312" s="1" t="s">
        <v>794</v>
      </c>
      <c r="B312" s="1">
        <v>57392</v>
      </c>
    </row>
    <row r="313" spans="1:2">
      <c r="A313" s="1" t="s">
        <v>795</v>
      </c>
      <c r="B313" s="1">
        <v>59065</v>
      </c>
    </row>
    <row r="314" spans="1:2">
      <c r="A314" s="1" t="s">
        <v>796</v>
      </c>
      <c r="B314" s="1">
        <v>61265</v>
      </c>
    </row>
    <row r="315" spans="1:2">
      <c r="A315" s="1" t="s">
        <v>797</v>
      </c>
    </row>
    <row r="316" spans="1:2">
      <c r="A316" s="1" t="s">
        <v>798</v>
      </c>
      <c r="B316" s="1">
        <v>19064</v>
      </c>
    </row>
    <row r="317" spans="1:2">
      <c r="A317" s="1" t="s">
        <v>799</v>
      </c>
      <c r="B317" s="1">
        <v>20875</v>
      </c>
    </row>
    <row r="318" spans="1:2">
      <c r="A318" s="1" t="s">
        <v>800</v>
      </c>
      <c r="B318" s="1">
        <v>22686</v>
      </c>
    </row>
    <row r="319" spans="1:2">
      <c r="A319" s="1" t="s">
        <v>801</v>
      </c>
      <c r="B319" s="1">
        <v>24497</v>
      </c>
    </row>
    <row r="320" spans="1:2">
      <c r="A320" s="1" t="s">
        <v>802</v>
      </c>
      <c r="B320" s="1">
        <v>25911</v>
      </c>
    </row>
    <row r="321" spans="1:2">
      <c r="A321" s="1" t="s">
        <v>803</v>
      </c>
      <c r="B321" s="1">
        <v>27595</v>
      </c>
    </row>
    <row r="322" spans="1:2">
      <c r="A322" s="1" t="s">
        <v>804</v>
      </c>
      <c r="B322" s="1">
        <v>29279</v>
      </c>
    </row>
    <row r="323" spans="1:2">
      <c r="A323" s="1" t="s">
        <v>805</v>
      </c>
      <c r="B323" s="1">
        <v>30964</v>
      </c>
    </row>
    <row r="324" spans="1:2">
      <c r="A324" s="1" t="s">
        <v>806</v>
      </c>
      <c r="B324" s="1">
        <v>32648</v>
      </c>
    </row>
    <row r="325" spans="1:2">
      <c r="A325" s="1" t="s">
        <v>807</v>
      </c>
      <c r="B325" s="1">
        <v>34332</v>
      </c>
    </row>
    <row r="326" spans="1:2">
      <c r="A326" s="1" t="s">
        <v>808</v>
      </c>
      <c r="B326" s="1">
        <v>36016</v>
      </c>
    </row>
    <row r="327" spans="1:2">
      <c r="A327" s="1" t="s">
        <v>809</v>
      </c>
      <c r="B327" s="1">
        <v>37700</v>
      </c>
    </row>
    <row r="328" spans="1:2">
      <c r="A328" s="1" t="s">
        <v>810</v>
      </c>
      <c r="B328" s="1">
        <v>39385</v>
      </c>
    </row>
    <row r="329" spans="1:2">
      <c r="A329" s="1" t="s">
        <v>811</v>
      </c>
      <c r="B329" s="1">
        <v>41069</v>
      </c>
    </row>
    <row r="330" spans="1:2">
      <c r="A330" s="1" t="s">
        <v>812</v>
      </c>
      <c r="B330" s="1">
        <v>42753</v>
      </c>
    </row>
    <row r="331" spans="1:2">
      <c r="A331" s="1" t="s">
        <v>813</v>
      </c>
      <c r="B331" s="1">
        <v>44437</v>
      </c>
    </row>
    <row r="332" spans="1:2">
      <c r="A332" s="1" t="s">
        <v>814</v>
      </c>
      <c r="B332" s="1">
        <v>46122</v>
      </c>
    </row>
    <row r="333" spans="1:2">
      <c r="A333" s="1" t="s">
        <v>815</v>
      </c>
      <c r="B333" s="1">
        <v>47806</v>
      </c>
    </row>
    <row r="334" spans="1:2">
      <c r="A334" s="1" t="s">
        <v>816</v>
      </c>
      <c r="B334" s="1">
        <v>49490</v>
      </c>
    </row>
    <row r="335" spans="1:2">
      <c r="A335" s="1" t="s">
        <v>817</v>
      </c>
      <c r="B335" s="1">
        <v>51174</v>
      </c>
    </row>
    <row r="336" spans="1:2">
      <c r="A336" s="1" t="s">
        <v>818</v>
      </c>
      <c r="B336" s="1">
        <v>22007</v>
      </c>
    </row>
    <row r="337" spans="1:2">
      <c r="A337" s="1" t="s">
        <v>819</v>
      </c>
      <c r="B337" s="1">
        <v>23818</v>
      </c>
    </row>
    <row r="338" spans="1:2">
      <c r="A338" s="1" t="s">
        <v>820</v>
      </c>
      <c r="B338" s="1">
        <v>25629</v>
      </c>
    </row>
    <row r="339" spans="1:2">
      <c r="A339" s="1" t="s">
        <v>821</v>
      </c>
      <c r="B339" s="1">
        <v>27043</v>
      </c>
    </row>
    <row r="340" spans="1:2">
      <c r="A340" s="1" t="s">
        <v>822</v>
      </c>
      <c r="B340" s="1">
        <v>28728</v>
      </c>
    </row>
    <row r="341" spans="1:2">
      <c r="A341" s="1" t="s">
        <v>823</v>
      </c>
      <c r="B341" s="1">
        <v>30412</v>
      </c>
    </row>
    <row r="342" spans="1:2">
      <c r="A342" s="1" t="s">
        <v>824</v>
      </c>
      <c r="B342" s="1">
        <v>32096</v>
      </c>
    </row>
    <row r="343" spans="1:2">
      <c r="A343" s="1" t="s">
        <v>825</v>
      </c>
      <c r="B343" s="1">
        <v>33780</v>
      </c>
    </row>
    <row r="344" spans="1:2">
      <c r="A344" s="1" t="s">
        <v>826</v>
      </c>
      <c r="B344" s="1">
        <v>35464</v>
      </c>
    </row>
    <row r="345" spans="1:2">
      <c r="A345" s="1" t="s">
        <v>827</v>
      </c>
      <c r="B345" s="1">
        <v>37149</v>
      </c>
    </row>
    <row r="346" spans="1:2">
      <c r="A346" s="1" t="s">
        <v>828</v>
      </c>
      <c r="B346" s="1">
        <v>38833</v>
      </c>
    </row>
    <row r="347" spans="1:2">
      <c r="A347" s="1" t="s">
        <v>829</v>
      </c>
      <c r="B347" s="1">
        <v>40517</v>
      </c>
    </row>
    <row r="348" spans="1:2">
      <c r="A348" s="1" t="s">
        <v>830</v>
      </c>
      <c r="B348" s="1">
        <v>42201</v>
      </c>
    </row>
    <row r="349" spans="1:2">
      <c r="A349" s="1" t="s">
        <v>831</v>
      </c>
      <c r="B349" s="1">
        <v>43885</v>
      </c>
    </row>
    <row r="350" spans="1:2">
      <c r="A350" s="1" t="s">
        <v>832</v>
      </c>
      <c r="B350" s="1">
        <v>45570</v>
      </c>
    </row>
    <row r="351" spans="1:2">
      <c r="A351" s="1" t="s">
        <v>833</v>
      </c>
      <c r="B351" s="1">
        <v>47254</v>
      </c>
    </row>
    <row r="352" spans="1:2">
      <c r="A352" s="1" t="s">
        <v>834</v>
      </c>
      <c r="B352" s="1">
        <v>48938</v>
      </c>
    </row>
    <row r="353" spans="1:2">
      <c r="A353" s="1" t="s">
        <v>835</v>
      </c>
      <c r="B353" s="1">
        <v>50622</v>
      </c>
    </row>
    <row r="354" spans="1:2">
      <c r="A354" s="1" t="s">
        <v>836</v>
      </c>
      <c r="B354" s="1">
        <v>52307</v>
      </c>
    </row>
    <row r="355" spans="1:2">
      <c r="A355" s="1" t="s">
        <v>837</v>
      </c>
      <c r="B355" s="1">
        <v>24950</v>
      </c>
    </row>
    <row r="356" spans="1:2">
      <c r="A356" s="1" t="s">
        <v>838</v>
      </c>
      <c r="B356" s="1">
        <v>26762</v>
      </c>
    </row>
    <row r="357" spans="1:2">
      <c r="A357" s="1" t="s">
        <v>839</v>
      </c>
      <c r="B357" s="1">
        <v>28176</v>
      </c>
    </row>
    <row r="358" spans="1:2">
      <c r="A358" s="1" t="s">
        <v>840</v>
      </c>
      <c r="B358" s="1">
        <v>29860</v>
      </c>
    </row>
    <row r="359" spans="1:2">
      <c r="A359" s="1" t="s">
        <v>841</v>
      </c>
      <c r="B359" s="1">
        <v>31544</v>
      </c>
    </row>
    <row r="360" spans="1:2">
      <c r="A360" s="1" t="s">
        <v>842</v>
      </c>
      <c r="B360" s="1">
        <v>33228</v>
      </c>
    </row>
    <row r="361" spans="1:2">
      <c r="A361" s="1" t="s">
        <v>843</v>
      </c>
      <c r="B361" s="1">
        <v>34912</v>
      </c>
    </row>
    <row r="362" spans="1:2">
      <c r="A362" s="1" t="s">
        <v>844</v>
      </c>
      <c r="B362" s="1">
        <v>36597</v>
      </c>
    </row>
    <row r="363" spans="1:2">
      <c r="A363" s="1" t="s">
        <v>845</v>
      </c>
      <c r="B363" s="1">
        <v>38281</v>
      </c>
    </row>
    <row r="364" spans="1:2">
      <c r="A364" s="1" t="s">
        <v>846</v>
      </c>
      <c r="B364" s="1">
        <v>39965</v>
      </c>
    </row>
    <row r="365" spans="1:2">
      <c r="A365" s="1" t="s">
        <v>847</v>
      </c>
      <c r="B365" s="1">
        <v>41649</v>
      </c>
    </row>
    <row r="366" spans="1:2">
      <c r="A366" s="1" t="s">
        <v>848</v>
      </c>
      <c r="B366" s="1">
        <v>43334</v>
      </c>
    </row>
    <row r="367" spans="1:2">
      <c r="A367" s="1" t="s">
        <v>849</v>
      </c>
      <c r="B367" s="1">
        <v>45018</v>
      </c>
    </row>
    <row r="368" spans="1:2">
      <c r="A368" s="1" t="s">
        <v>850</v>
      </c>
      <c r="B368" s="1">
        <v>46702</v>
      </c>
    </row>
    <row r="369" spans="1:2">
      <c r="A369" s="1" t="s">
        <v>851</v>
      </c>
      <c r="B369" s="1">
        <v>48386</v>
      </c>
    </row>
    <row r="370" spans="1:2">
      <c r="A370" s="1" t="s">
        <v>852</v>
      </c>
      <c r="B370" s="1">
        <v>50070</v>
      </c>
    </row>
    <row r="371" spans="1:2">
      <c r="A371" s="1" t="s">
        <v>853</v>
      </c>
      <c r="B371" s="1">
        <v>51755</v>
      </c>
    </row>
    <row r="372" spans="1:2">
      <c r="A372" s="1" t="s">
        <v>854</v>
      </c>
      <c r="B372" s="1">
        <v>53920</v>
      </c>
    </row>
    <row r="373" spans="1:2">
      <c r="A373" s="1" t="s">
        <v>855</v>
      </c>
      <c r="B373" s="1">
        <v>27894</v>
      </c>
    </row>
    <row r="374" spans="1:2">
      <c r="A374" s="1" t="s">
        <v>856</v>
      </c>
      <c r="B374" s="1">
        <v>29308</v>
      </c>
    </row>
    <row r="375" spans="1:2">
      <c r="A375" s="1" t="s">
        <v>857</v>
      </c>
      <c r="B375" s="1">
        <v>30992</v>
      </c>
    </row>
    <row r="376" spans="1:2">
      <c r="A376" s="1" t="s">
        <v>858</v>
      </c>
      <c r="B376" s="1">
        <v>32676</v>
      </c>
    </row>
    <row r="377" spans="1:2">
      <c r="A377" s="1" t="s">
        <v>859</v>
      </c>
      <c r="B377" s="1">
        <v>34361</v>
      </c>
    </row>
    <row r="378" spans="1:2">
      <c r="A378" s="1" t="s">
        <v>860</v>
      </c>
      <c r="B378" s="1">
        <v>36045</v>
      </c>
    </row>
    <row r="379" spans="1:2">
      <c r="A379" s="1" t="s">
        <v>861</v>
      </c>
      <c r="B379" s="1">
        <v>37729</v>
      </c>
    </row>
    <row r="380" spans="1:2">
      <c r="A380" s="1" t="s">
        <v>862</v>
      </c>
      <c r="B380" s="1">
        <v>39413</v>
      </c>
    </row>
    <row r="381" spans="1:2">
      <c r="A381" s="1" t="s">
        <v>863</v>
      </c>
      <c r="B381" s="1">
        <v>41097</v>
      </c>
    </row>
    <row r="382" spans="1:2">
      <c r="A382" s="1" t="s">
        <v>864</v>
      </c>
      <c r="B382" s="1">
        <v>42782</v>
      </c>
    </row>
    <row r="383" spans="1:2">
      <c r="A383" s="1" t="s">
        <v>865</v>
      </c>
      <c r="B383" s="1">
        <v>44466</v>
      </c>
    </row>
    <row r="384" spans="1:2">
      <c r="A384" s="1" t="s">
        <v>866</v>
      </c>
      <c r="B384" s="1">
        <v>46150</v>
      </c>
    </row>
    <row r="385" spans="1:2">
      <c r="A385" s="1" t="s">
        <v>867</v>
      </c>
      <c r="B385" s="1">
        <v>47834</v>
      </c>
    </row>
    <row r="386" spans="1:2">
      <c r="A386" s="1" t="s">
        <v>868</v>
      </c>
      <c r="B386" s="1">
        <v>49518</v>
      </c>
    </row>
    <row r="387" spans="1:2">
      <c r="A387" s="1" t="s">
        <v>869</v>
      </c>
      <c r="B387" s="1">
        <v>51203</v>
      </c>
    </row>
    <row r="388" spans="1:2">
      <c r="A388" s="1" t="s">
        <v>870</v>
      </c>
      <c r="B388" s="1">
        <v>52887</v>
      </c>
    </row>
    <row r="389" spans="1:2">
      <c r="A389" s="1" t="s">
        <v>871</v>
      </c>
      <c r="B389" s="1">
        <v>55052</v>
      </c>
    </row>
    <row r="390" spans="1:2">
      <c r="A390" s="1" t="s">
        <v>872</v>
      </c>
      <c r="B390" s="1">
        <v>30440</v>
      </c>
    </row>
    <row r="391" spans="1:2">
      <c r="A391" s="1" t="s">
        <v>873</v>
      </c>
      <c r="B391" s="1">
        <v>32124</v>
      </c>
    </row>
    <row r="392" spans="1:2">
      <c r="A392" s="1" t="s">
        <v>874</v>
      </c>
      <c r="B392" s="1">
        <v>33809</v>
      </c>
    </row>
    <row r="393" spans="1:2">
      <c r="A393" s="1" t="s">
        <v>875</v>
      </c>
      <c r="B393" s="1">
        <v>35493</v>
      </c>
    </row>
    <row r="394" spans="1:2">
      <c r="A394" s="1" t="s">
        <v>876</v>
      </c>
      <c r="B394" s="1">
        <v>37177</v>
      </c>
    </row>
    <row r="395" spans="1:2">
      <c r="A395" s="1" t="s">
        <v>877</v>
      </c>
      <c r="B395" s="1">
        <v>38861</v>
      </c>
    </row>
    <row r="396" spans="1:2">
      <c r="A396" s="1" t="s">
        <v>878</v>
      </c>
      <c r="B396" s="1">
        <v>40546</v>
      </c>
    </row>
    <row r="397" spans="1:2">
      <c r="A397" s="1" t="s">
        <v>879</v>
      </c>
      <c r="B397" s="1">
        <v>42230</v>
      </c>
    </row>
    <row r="398" spans="1:2">
      <c r="A398" s="1" t="s">
        <v>880</v>
      </c>
      <c r="B398" s="1">
        <v>43914</v>
      </c>
    </row>
    <row r="399" spans="1:2">
      <c r="A399" s="1" t="s">
        <v>881</v>
      </c>
      <c r="B399" s="1">
        <v>45598</v>
      </c>
    </row>
    <row r="400" spans="1:2">
      <c r="A400" s="1" t="s">
        <v>882</v>
      </c>
      <c r="B400" s="1">
        <v>47282</v>
      </c>
    </row>
    <row r="401" spans="1:2">
      <c r="A401" s="1" t="s">
        <v>883</v>
      </c>
      <c r="B401" s="1">
        <v>48967</v>
      </c>
    </row>
    <row r="402" spans="1:2">
      <c r="A402" s="1" t="s">
        <v>884</v>
      </c>
      <c r="B402" s="1">
        <v>50651</v>
      </c>
    </row>
    <row r="403" spans="1:2">
      <c r="A403" s="1" t="s">
        <v>885</v>
      </c>
      <c r="B403" s="1">
        <v>52335</v>
      </c>
    </row>
    <row r="404" spans="1:2">
      <c r="A404" s="1" t="s">
        <v>886</v>
      </c>
      <c r="B404" s="1">
        <v>54019</v>
      </c>
    </row>
    <row r="405" spans="1:2">
      <c r="A405" s="1" t="s">
        <v>887</v>
      </c>
      <c r="B405" s="1">
        <v>56184</v>
      </c>
    </row>
    <row r="406" spans="1:2">
      <c r="A406" s="1" t="s">
        <v>888</v>
      </c>
      <c r="B406" s="1">
        <v>33257</v>
      </c>
    </row>
    <row r="407" spans="1:2">
      <c r="A407" s="1" t="s">
        <v>889</v>
      </c>
      <c r="B407" s="1">
        <v>34941</v>
      </c>
    </row>
    <row r="408" spans="1:2">
      <c r="A408" s="1" t="s">
        <v>890</v>
      </c>
      <c r="B408" s="1">
        <v>36625</v>
      </c>
    </row>
    <row r="409" spans="1:2">
      <c r="A409" s="1" t="s">
        <v>891</v>
      </c>
      <c r="B409" s="1">
        <v>38309</v>
      </c>
    </row>
    <row r="410" spans="1:2">
      <c r="A410" s="1" t="s">
        <v>892</v>
      </c>
      <c r="B410" s="1">
        <v>39994</v>
      </c>
    </row>
    <row r="411" spans="1:2">
      <c r="A411" s="1" t="s">
        <v>893</v>
      </c>
      <c r="B411" s="1">
        <v>41678</v>
      </c>
    </row>
    <row r="412" spans="1:2">
      <c r="A412" s="1" t="s">
        <v>894</v>
      </c>
      <c r="B412" s="1">
        <v>43362</v>
      </c>
    </row>
    <row r="413" spans="1:2">
      <c r="A413" s="1" t="s">
        <v>895</v>
      </c>
      <c r="B413" s="1">
        <v>45046</v>
      </c>
    </row>
    <row r="414" spans="1:2">
      <c r="A414" s="1" t="s">
        <v>896</v>
      </c>
      <c r="B414" s="1">
        <v>46730</v>
      </c>
    </row>
    <row r="415" spans="1:2">
      <c r="A415" s="1" t="s">
        <v>897</v>
      </c>
      <c r="B415" s="1">
        <v>48415</v>
      </c>
    </row>
    <row r="416" spans="1:2">
      <c r="A416" s="1" t="s">
        <v>898</v>
      </c>
      <c r="B416" s="1">
        <v>50099</v>
      </c>
    </row>
    <row r="417" spans="1:2">
      <c r="A417" s="1" t="s">
        <v>899</v>
      </c>
      <c r="B417" s="1">
        <v>51783</v>
      </c>
    </row>
    <row r="418" spans="1:2">
      <c r="A418" s="1" t="s">
        <v>900</v>
      </c>
      <c r="B418" s="1">
        <v>53467</v>
      </c>
    </row>
    <row r="419" spans="1:2">
      <c r="A419" s="1" t="s">
        <v>901</v>
      </c>
      <c r="B419" s="1">
        <v>55152</v>
      </c>
    </row>
    <row r="420" spans="1:2">
      <c r="A420" s="1" t="s">
        <v>902</v>
      </c>
      <c r="B420" s="1">
        <v>57316</v>
      </c>
    </row>
    <row r="421" spans="1:2">
      <c r="A421" s="1" t="s">
        <v>903</v>
      </c>
      <c r="B421" s="1">
        <v>36073</v>
      </c>
    </row>
    <row r="422" spans="1:2">
      <c r="A422" s="1" t="s">
        <v>904</v>
      </c>
      <c r="B422" s="1">
        <v>37757</v>
      </c>
    </row>
    <row r="423" spans="1:2">
      <c r="A423" s="1" t="s">
        <v>905</v>
      </c>
      <c r="B423" s="1">
        <v>39442</v>
      </c>
    </row>
    <row r="424" spans="1:2">
      <c r="A424" s="1" t="s">
        <v>906</v>
      </c>
      <c r="B424" s="1">
        <v>41126</v>
      </c>
    </row>
    <row r="425" spans="1:2">
      <c r="A425" s="1" t="s">
        <v>907</v>
      </c>
      <c r="B425" s="1">
        <v>42810</v>
      </c>
    </row>
    <row r="426" spans="1:2">
      <c r="A426" s="1" t="s">
        <v>908</v>
      </c>
      <c r="B426" s="1">
        <v>44494</v>
      </c>
    </row>
    <row r="427" spans="1:2">
      <c r="A427" s="1" t="s">
        <v>909</v>
      </c>
      <c r="B427" s="1">
        <v>46179</v>
      </c>
    </row>
    <row r="428" spans="1:2">
      <c r="A428" s="1" t="s">
        <v>910</v>
      </c>
      <c r="B428" s="1">
        <v>47863</v>
      </c>
    </row>
    <row r="429" spans="1:2">
      <c r="A429" s="1" t="s">
        <v>911</v>
      </c>
      <c r="B429" s="1">
        <v>49547</v>
      </c>
    </row>
    <row r="430" spans="1:2">
      <c r="A430" s="1" t="s">
        <v>912</v>
      </c>
      <c r="B430" s="1">
        <v>51231</v>
      </c>
    </row>
    <row r="431" spans="1:2">
      <c r="A431" s="1" t="s">
        <v>913</v>
      </c>
      <c r="B431" s="1">
        <v>52915</v>
      </c>
    </row>
    <row r="432" spans="1:2">
      <c r="A432" s="1" t="s">
        <v>914</v>
      </c>
      <c r="B432" s="1">
        <v>54600</v>
      </c>
    </row>
    <row r="433" spans="1:2">
      <c r="A433" s="1" t="s">
        <v>915</v>
      </c>
      <c r="B433" s="1">
        <v>56284</v>
      </c>
    </row>
    <row r="434" spans="1:2">
      <c r="A434" s="1" t="s">
        <v>916</v>
      </c>
      <c r="B434" s="1">
        <v>58449</v>
      </c>
    </row>
    <row r="435" spans="1:2">
      <c r="A435" s="1" t="s">
        <v>917</v>
      </c>
      <c r="B435" s="1">
        <v>38890</v>
      </c>
    </row>
    <row r="436" spans="1:2">
      <c r="A436" s="1" t="s">
        <v>918</v>
      </c>
      <c r="B436" s="1">
        <v>40574</v>
      </c>
    </row>
    <row r="437" spans="1:2">
      <c r="A437" s="1" t="s">
        <v>919</v>
      </c>
      <c r="B437" s="1">
        <v>42258</v>
      </c>
    </row>
    <row r="438" spans="1:2">
      <c r="A438" s="1" t="s">
        <v>920</v>
      </c>
      <c r="B438" s="1">
        <v>43942</v>
      </c>
    </row>
    <row r="439" spans="1:2">
      <c r="A439" s="1" t="s">
        <v>921</v>
      </c>
      <c r="B439" s="1">
        <v>45627</v>
      </c>
    </row>
    <row r="440" spans="1:2">
      <c r="A440" s="1" t="s">
        <v>922</v>
      </c>
      <c r="B440" s="1">
        <v>47311</v>
      </c>
    </row>
    <row r="441" spans="1:2">
      <c r="A441" s="1" t="s">
        <v>923</v>
      </c>
      <c r="B441" s="1">
        <v>48995</v>
      </c>
    </row>
    <row r="442" spans="1:2">
      <c r="A442" s="1" t="s">
        <v>924</v>
      </c>
      <c r="B442" s="1">
        <v>50679</v>
      </c>
    </row>
    <row r="443" spans="1:2">
      <c r="A443" s="1" t="s">
        <v>925</v>
      </c>
      <c r="B443" s="1">
        <v>52364</v>
      </c>
    </row>
    <row r="444" spans="1:2">
      <c r="A444" s="1" t="s">
        <v>926</v>
      </c>
      <c r="B444" s="1">
        <v>54048</v>
      </c>
    </row>
    <row r="445" spans="1:2">
      <c r="A445" s="1" t="s">
        <v>927</v>
      </c>
      <c r="B445" s="1">
        <v>55732</v>
      </c>
    </row>
    <row r="446" spans="1:2">
      <c r="A446" s="1" t="s">
        <v>928</v>
      </c>
      <c r="B446" s="1">
        <v>57416</v>
      </c>
    </row>
    <row r="447" spans="1:2">
      <c r="A447" s="1" t="s">
        <v>929</v>
      </c>
      <c r="B447" s="1">
        <v>59581</v>
      </c>
    </row>
    <row r="448" spans="1:2">
      <c r="A448" s="1" t="s">
        <v>930</v>
      </c>
      <c r="B448" s="1">
        <v>41706</v>
      </c>
    </row>
    <row r="449" spans="1:2">
      <c r="A449" s="1" t="s">
        <v>931</v>
      </c>
      <c r="B449" s="1">
        <v>43391</v>
      </c>
    </row>
    <row r="450" spans="1:2">
      <c r="A450" s="1" t="s">
        <v>932</v>
      </c>
      <c r="B450" s="1">
        <v>45075</v>
      </c>
    </row>
    <row r="451" spans="1:2">
      <c r="A451" s="1" t="s">
        <v>933</v>
      </c>
      <c r="B451" s="1">
        <v>46759</v>
      </c>
    </row>
    <row r="452" spans="1:2">
      <c r="A452" s="1" t="s">
        <v>934</v>
      </c>
      <c r="B452" s="1">
        <v>48443</v>
      </c>
    </row>
    <row r="453" spans="1:2">
      <c r="A453" s="1" t="s">
        <v>935</v>
      </c>
      <c r="B453" s="1">
        <v>50127</v>
      </c>
    </row>
    <row r="454" spans="1:2">
      <c r="A454" s="1" t="s">
        <v>936</v>
      </c>
      <c r="B454" s="1">
        <v>51812</v>
      </c>
    </row>
    <row r="455" spans="1:2">
      <c r="A455" s="1" t="s">
        <v>937</v>
      </c>
      <c r="B455" s="1">
        <v>53496</v>
      </c>
    </row>
    <row r="456" spans="1:2">
      <c r="A456" s="1" t="s">
        <v>938</v>
      </c>
      <c r="B456" s="1">
        <v>55180</v>
      </c>
    </row>
    <row r="457" spans="1:2">
      <c r="A457" s="1" t="s">
        <v>939</v>
      </c>
      <c r="B457" s="1">
        <v>56864</v>
      </c>
    </row>
    <row r="458" spans="1:2">
      <c r="A458" s="1" t="s">
        <v>940</v>
      </c>
      <c r="B458" s="1">
        <v>58548</v>
      </c>
    </row>
    <row r="459" spans="1:2">
      <c r="A459" s="1" t="s">
        <v>941</v>
      </c>
      <c r="B459" s="1">
        <v>60713</v>
      </c>
    </row>
    <row r="460" spans="1:2">
      <c r="A460" s="1" t="s">
        <v>942</v>
      </c>
      <c r="B460" s="1">
        <v>44523</v>
      </c>
    </row>
    <row r="461" spans="1:2">
      <c r="A461" s="1" t="s">
        <v>943</v>
      </c>
      <c r="B461" s="1">
        <v>46207</v>
      </c>
    </row>
    <row r="462" spans="1:2">
      <c r="A462" s="1" t="s">
        <v>944</v>
      </c>
      <c r="B462" s="1">
        <v>47891</v>
      </c>
    </row>
    <row r="463" spans="1:2">
      <c r="A463" s="1" t="s">
        <v>945</v>
      </c>
      <c r="B463" s="1">
        <v>49576</v>
      </c>
    </row>
    <row r="464" spans="1:2">
      <c r="A464" s="1" t="s">
        <v>946</v>
      </c>
      <c r="B464" s="1">
        <v>51260</v>
      </c>
    </row>
    <row r="465" spans="1:2">
      <c r="A465" s="1" t="s">
        <v>947</v>
      </c>
      <c r="B465" s="1">
        <v>52944</v>
      </c>
    </row>
    <row r="466" spans="1:2">
      <c r="A466" s="1" t="s">
        <v>948</v>
      </c>
      <c r="B466" s="1">
        <v>54628</v>
      </c>
    </row>
    <row r="467" spans="1:2">
      <c r="A467" s="1" t="s">
        <v>949</v>
      </c>
      <c r="B467" s="1">
        <v>56312</v>
      </c>
    </row>
    <row r="468" spans="1:2">
      <c r="A468" s="1" t="s">
        <v>950</v>
      </c>
      <c r="B468" s="1">
        <v>57997</v>
      </c>
    </row>
    <row r="469" spans="1:2">
      <c r="A469" s="1" t="s">
        <v>951</v>
      </c>
      <c r="B469" s="1">
        <v>59681</v>
      </c>
    </row>
    <row r="470" spans="1:2">
      <c r="A470" s="1" t="s">
        <v>952</v>
      </c>
      <c r="B470" s="1">
        <v>61846</v>
      </c>
    </row>
    <row r="471" spans="1:2">
      <c r="A471" s="1" t="s">
        <v>953</v>
      </c>
    </row>
    <row r="472" spans="1:2">
      <c r="A472" s="1" t="s">
        <v>954</v>
      </c>
      <c r="B472" s="1">
        <v>15605</v>
      </c>
    </row>
    <row r="473" spans="1:2">
      <c r="A473" s="1" t="s">
        <v>955</v>
      </c>
      <c r="B473" s="1">
        <v>17134</v>
      </c>
    </row>
    <row r="474" spans="1:2">
      <c r="A474" s="1" t="s">
        <v>956</v>
      </c>
      <c r="B474" s="1">
        <v>18663</v>
      </c>
    </row>
    <row r="475" spans="1:2">
      <c r="A475" s="1" t="s">
        <v>957</v>
      </c>
      <c r="B475" s="1">
        <v>20192</v>
      </c>
    </row>
    <row r="476" spans="1:2">
      <c r="A476" s="1" t="s">
        <v>958</v>
      </c>
      <c r="B476" s="1">
        <v>21495</v>
      </c>
    </row>
    <row r="477" spans="1:2">
      <c r="A477" s="1" t="s">
        <v>959</v>
      </c>
      <c r="B477" s="1">
        <v>22890</v>
      </c>
    </row>
    <row r="478" spans="1:2">
      <c r="A478" s="1" t="s">
        <v>960</v>
      </c>
      <c r="B478" s="1">
        <v>24285</v>
      </c>
    </row>
    <row r="479" spans="1:2">
      <c r="A479" s="1" t="s">
        <v>961</v>
      </c>
      <c r="B479" s="1">
        <v>25680</v>
      </c>
    </row>
    <row r="480" spans="1:2">
      <c r="A480" s="1" t="s">
        <v>962</v>
      </c>
      <c r="B480" s="1">
        <v>27075</v>
      </c>
    </row>
    <row r="481" spans="1:2">
      <c r="A481" s="1" t="s">
        <v>963</v>
      </c>
      <c r="B481" s="1">
        <v>28470</v>
      </c>
    </row>
    <row r="482" spans="1:2">
      <c r="A482" s="1" t="s">
        <v>964</v>
      </c>
      <c r="B482" s="1">
        <v>29865</v>
      </c>
    </row>
    <row r="483" spans="1:2">
      <c r="A483" s="1" t="s">
        <v>965</v>
      </c>
      <c r="B483" s="1">
        <v>31260</v>
      </c>
    </row>
    <row r="484" spans="1:2">
      <c r="A484" s="1" t="s">
        <v>966</v>
      </c>
      <c r="B484" s="1">
        <v>32655</v>
      </c>
    </row>
    <row r="485" spans="1:2">
      <c r="A485" s="1" t="s">
        <v>967</v>
      </c>
      <c r="B485" s="1">
        <v>34050</v>
      </c>
    </row>
    <row r="486" spans="1:2">
      <c r="A486" s="1" t="s">
        <v>968</v>
      </c>
      <c r="B486" s="1">
        <v>35445</v>
      </c>
    </row>
    <row r="487" spans="1:2">
      <c r="A487" s="1" t="s">
        <v>969</v>
      </c>
      <c r="B487" s="1">
        <v>36840</v>
      </c>
    </row>
    <row r="488" spans="1:2">
      <c r="A488" s="1" t="s">
        <v>970</v>
      </c>
      <c r="B488" s="1">
        <v>38235</v>
      </c>
    </row>
    <row r="489" spans="1:2">
      <c r="A489" s="1" t="s">
        <v>971</v>
      </c>
      <c r="B489" s="1">
        <v>39630</v>
      </c>
    </row>
    <row r="490" spans="1:2">
      <c r="A490" s="1" t="s">
        <v>972</v>
      </c>
      <c r="B490" s="1">
        <v>41025</v>
      </c>
    </row>
    <row r="491" spans="1:2">
      <c r="A491" s="1" t="s">
        <v>973</v>
      </c>
      <c r="B491" s="1">
        <v>42420</v>
      </c>
    </row>
    <row r="492" spans="1:2">
      <c r="A492" s="1" t="s">
        <v>974</v>
      </c>
      <c r="B492" s="1">
        <v>18062</v>
      </c>
    </row>
    <row r="493" spans="1:2">
      <c r="A493" s="1" t="s">
        <v>975</v>
      </c>
      <c r="B493" s="1">
        <v>19592</v>
      </c>
    </row>
    <row r="494" spans="1:2">
      <c r="A494" s="1" t="s">
        <v>976</v>
      </c>
      <c r="B494" s="1">
        <v>21121</v>
      </c>
    </row>
    <row r="495" spans="1:2">
      <c r="A495" s="1" t="s">
        <v>977</v>
      </c>
      <c r="B495" s="1">
        <v>22424</v>
      </c>
    </row>
    <row r="496" spans="1:2">
      <c r="A496" s="1" t="s">
        <v>978</v>
      </c>
      <c r="B496" s="1">
        <v>23819</v>
      </c>
    </row>
    <row r="497" spans="1:2">
      <c r="A497" s="1" t="s">
        <v>979</v>
      </c>
      <c r="B497" s="1">
        <v>25214</v>
      </c>
    </row>
    <row r="498" spans="1:2">
      <c r="A498" s="1" t="s">
        <v>980</v>
      </c>
      <c r="B498" s="1">
        <v>26609</v>
      </c>
    </row>
    <row r="499" spans="1:2">
      <c r="A499" s="1" t="s">
        <v>981</v>
      </c>
      <c r="B499" s="1">
        <v>28004</v>
      </c>
    </row>
    <row r="500" spans="1:2">
      <c r="A500" s="1" t="s">
        <v>982</v>
      </c>
      <c r="B500" s="1">
        <v>29399</v>
      </c>
    </row>
    <row r="501" spans="1:2">
      <c r="A501" s="1" t="s">
        <v>983</v>
      </c>
      <c r="B501" s="1">
        <v>30794</v>
      </c>
    </row>
    <row r="502" spans="1:2">
      <c r="A502" s="1" t="s">
        <v>984</v>
      </c>
      <c r="B502" s="1">
        <v>32189</v>
      </c>
    </row>
    <row r="503" spans="1:2">
      <c r="A503" s="1" t="s">
        <v>985</v>
      </c>
      <c r="B503" s="1">
        <v>33584</v>
      </c>
    </row>
    <row r="504" spans="1:2">
      <c r="A504" s="1" t="s">
        <v>986</v>
      </c>
      <c r="B504" s="1">
        <v>34979</v>
      </c>
    </row>
    <row r="505" spans="1:2">
      <c r="A505" s="1" t="s">
        <v>987</v>
      </c>
      <c r="B505" s="1">
        <v>36374</v>
      </c>
    </row>
    <row r="506" spans="1:2">
      <c r="A506" s="1" t="s">
        <v>988</v>
      </c>
      <c r="B506" s="1">
        <v>37769</v>
      </c>
    </row>
    <row r="507" spans="1:2">
      <c r="A507" s="1" t="s">
        <v>989</v>
      </c>
      <c r="B507" s="1">
        <v>39164</v>
      </c>
    </row>
    <row r="508" spans="1:2">
      <c r="A508" s="1" t="s">
        <v>990</v>
      </c>
      <c r="B508" s="1">
        <v>40559</v>
      </c>
    </row>
    <row r="509" spans="1:2">
      <c r="A509" s="1" t="s">
        <v>991</v>
      </c>
      <c r="B509" s="1">
        <v>41954</v>
      </c>
    </row>
    <row r="510" spans="1:2">
      <c r="A510" s="1" t="s">
        <v>992</v>
      </c>
      <c r="B510" s="1">
        <v>43349</v>
      </c>
    </row>
    <row r="511" spans="1:2">
      <c r="A511" s="1" t="s">
        <v>993</v>
      </c>
      <c r="B511" s="1">
        <v>20520</v>
      </c>
    </row>
    <row r="512" spans="1:2">
      <c r="A512" s="1" t="s">
        <v>994</v>
      </c>
      <c r="B512" s="1">
        <v>22049</v>
      </c>
    </row>
    <row r="513" spans="1:6">
      <c r="A513" s="1" t="s">
        <v>995</v>
      </c>
      <c r="B513" s="1">
        <v>23352</v>
      </c>
    </row>
    <row r="514" spans="1:6">
      <c r="A514" s="1" t="s">
        <v>996</v>
      </c>
      <c r="B514" s="1">
        <v>24747</v>
      </c>
    </row>
    <row r="515" spans="1:6">
      <c r="A515" s="1" t="s">
        <v>997</v>
      </c>
      <c r="B515" s="1">
        <v>26142</v>
      </c>
    </row>
    <row r="516" spans="1:6">
      <c r="A516" s="1" t="s">
        <v>998</v>
      </c>
      <c r="B516" s="1">
        <v>27537</v>
      </c>
    </row>
    <row r="517" spans="1:6">
      <c r="A517" s="1" t="s">
        <v>999</v>
      </c>
      <c r="B517" s="1">
        <v>28932</v>
      </c>
    </row>
    <row r="518" spans="1:6">
      <c r="A518" s="1" t="s">
        <v>1000</v>
      </c>
      <c r="B518" s="1">
        <v>30327</v>
      </c>
    </row>
    <row r="519" spans="1:6" s="53" customFormat="1">
      <c r="A519" s="1" t="s">
        <v>1001</v>
      </c>
      <c r="B519" s="1">
        <v>31722</v>
      </c>
      <c r="E519" s="52"/>
      <c r="F519" s="52"/>
    </row>
    <row r="520" spans="1:6">
      <c r="A520" s="1" t="s">
        <v>1002</v>
      </c>
      <c r="B520" s="1">
        <v>33117</v>
      </c>
    </row>
    <row r="521" spans="1:6">
      <c r="A521" s="1" t="s">
        <v>1003</v>
      </c>
      <c r="B521" s="1">
        <v>34512</v>
      </c>
    </row>
    <row r="522" spans="1:6">
      <c r="A522" s="1" t="s">
        <v>1004</v>
      </c>
      <c r="B522" s="1">
        <v>35907</v>
      </c>
    </row>
    <row r="523" spans="1:6">
      <c r="A523" s="1" t="s">
        <v>1005</v>
      </c>
      <c r="B523" s="1">
        <v>37302</v>
      </c>
    </row>
    <row r="524" spans="1:6">
      <c r="A524" s="1" t="s">
        <v>1006</v>
      </c>
      <c r="B524" s="1">
        <v>38697</v>
      </c>
    </row>
    <row r="525" spans="1:6">
      <c r="A525" s="1" t="s">
        <v>1007</v>
      </c>
      <c r="B525" s="1">
        <v>40092</v>
      </c>
    </row>
    <row r="526" spans="1:6">
      <c r="A526" s="1" t="s">
        <v>1008</v>
      </c>
      <c r="B526" s="1">
        <v>41487</v>
      </c>
    </row>
    <row r="527" spans="1:6">
      <c r="A527" s="1" t="s">
        <v>1009</v>
      </c>
      <c r="B527" s="1">
        <v>42882</v>
      </c>
    </row>
    <row r="528" spans="1:6">
      <c r="A528" s="1" t="s">
        <v>1010</v>
      </c>
      <c r="B528" s="1">
        <v>44562</v>
      </c>
    </row>
    <row r="529" spans="1:2">
      <c r="A529" s="1" t="s">
        <v>1011</v>
      </c>
      <c r="B529" s="1">
        <v>22978</v>
      </c>
    </row>
    <row r="530" spans="1:2">
      <c r="A530" s="1" t="s">
        <v>1012</v>
      </c>
      <c r="B530" s="1">
        <v>24281</v>
      </c>
    </row>
    <row r="531" spans="1:2">
      <c r="A531" s="1" t="s">
        <v>1013</v>
      </c>
      <c r="B531" s="1">
        <v>25676</v>
      </c>
    </row>
    <row r="532" spans="1:2">
      <c r="A532" s="1" t="s">
        <v>1014</v>
      </c>
      <c r="B532" s="1">
        <v>27071</v>
      </c>
    </row>
    <row r="533" spans="1:2">
      <c r="A533" s="1" t="s">
        <v>1015</v>
      </c>
      <c r="B533" s="1">
        <v>28466</v>
      </c>
    </row>
    <row r="534" spans="1:2">
      <c r="A534" s="1" t="s">
        <v>1016</v>
      </c>
      <c r="B534" s="1">
        <v>29861</v>
      </c>
    </row>
    <row r="535" spans="1:2">
      <c r="A535" s="1" t="s">
        <v>1017</v>
      </c>
      <c r="B535" s="1">
        <v>31256</v>
      </c>
    </row>
    <row r="536" spans="1:2">
      <c r="A536" s="1" t="s">
        <v>1018</v>
      </c>
      <c r="B536" s="1">
        <v>32651</v>
      </c>
    </row>
    <row r="537" spans="1:2">
      <c r="A537" s="1" t="s">
        <v>1019</v>
      </c>
      <c r="B537" s="1">
        <v>34046</v>
      </c>
    </row>
    <row r="538" spans="1:2">
      <c r="A538" s="1" t="s">
        <v>1020</v>
      </c>
      <c r="B538" s="1">
        <v>35441</v>
      </c>
    </row>
    <row r="539" spans="1:2">
      <c r="A539" s="1" t="s">
        <v>1021</v>
      </c>
      <c r="B539" s="1">
        <v>36836</v>
      </c>
    </row>
    <row r="540" spans="1:2">
      <c r="A540" s="1" t="s">
        <v>1022</v>
      </c>
      <c r="B540" s="1">
        <v>38231</v>
      </c>
    </row>
    <row r="541" spans="1:2">
      <c r="A541" s="1" t="s">
        <v>1023</v>
      </c>
      <c r="B541" s="1">
        <v>39626</v>
      </c>
    </row>
    <row r="542" spans="1:2">
      <c r="A542" s="1" t="s">
        <v>1024</v>
      </c>
      <c r="B542" s="1">
        <v>41021</v>
      </c>
    </row>
    <row r="543" spans="1:2">
      <c r="A543" s="1" t="s">
        <v>1025</v>
      </c>
      <c r="B543" s="1">
        <v>42416</v>
      </c>
    </row>
    <row r="544" spans="1:2">
      <c r="A544" s="1" t="s">
        <v>1026</v>
      </c>
      <c r="B544" s="1">
        <v>43811</v>
      </c>
    </row>
    <row r="545" spans="1:2">
      <c r="A545" s="1" t="s">
        <v>1027</v>
      </c>
      <c r="B545" s="1">
        <v>45490</v>
      </c>
    </row>
    <row r="546" spans="1:2">
      <c r="A546" s="1" t="s">
        <v>1028</v>
      </c>
      <c r="B546" s="1">
        <v>25209</v>
      </c>
    </row>
    <row r="547" spans="1:2">
      <c r="A547" s="1" t="s">
        <v>1029</v>
      </c>
      <c r="B547" s="1">
        <v>26604</v>
      </c>
    </row>
    <row r="548" spans="1:2">
      <c r="A548" s="1" t="s">
        <v>1030</v>
      </c>
      <c r="B548" s="1">
        <v>27999</v>
      </c>
    </row>
    <row r="549" spans="1:2">
      <c r="A549" s="1" t="s">
        <v>1031</v>
      </c>
      <c r="B549" s="1">
        <v>29394</v>
      </c>
    </row>
    <row r="550" spans="1:2">
      <c r="A550" s="1" t="s">
        <v>1032</v>
      </c>
      <c r="B550" s="1">
        <v>30789</v>
      </c>
    </row>
    <row r="551" spans="1:2">
      <c r="A551" s="1" t="s">
        <v>1033</v>
      </c>
      <c r="B551" s="1">
        <v>32184</v>
      </c>
    </row>
    <row r="552" spans="1:2">
      <c r="A552" s="1" t="s">
        <v>1034</v>
      </c>
      <c r="B552" s="1">
        <v>33579</v>
      </c>
    </row>
    <row r="553" spans="1:2">
      <c r="A553" s="1" t="s">
        <v>1035</v>
      </c>
      <c r="B553" s="1">
        <v>34974</v>
      </c>
    </row>
    <row r="554" spans="1:2">
      <c r="A554" s="1" t="s">
        <v>1036</v>
      </c>
      <c r="B554" s="1">
        <v>36369</v>
      </c>
    </row>
    <row r="555" spans="1:2">
      <c r="A555" s="1" t="s">
        <v>1037</v>
      </c>
      <c r="B555" s="1">
        <v>37764</v>
      </c>
    </row>
    <row r="556" spans="1:2">
      <c r="A556" s="1" t="s">
        <v>1038</v>
      </c>
      <c r="B556" s="1">
        <v>39160</v>
      </c>
    </row>
    <row r="557" spans="1:2">
      <c r="A557" s="1" t="s">
        <v>1039</v>
      </c>
      <c r="B557" s="1">
        <v>40555</v>
      </c>
    </row>
    <row r="558" spans="1:2">
      <c r="A558" s="1" t="s">
        <v>1040</v>
      </c>
      <c r="B558" s="1">
        <v>41950</v>
      </c>
    </row>
    <row r="559" spans="1:2">
      <c r="A559" s="1" t="s">
        <v>1041</v>
      </c>
      <c r="B559" s="1">
        <v>43345</v>
      </c>
    </row>
    <row r="560" spans="1:2">
      <c r="A560" s="1" t="s">
        <v>1042</v>
      </c>
      <c r="B560" s="1">
        <v>44740</v>
      </c>
    </row>
    <row r="561" spans="1:2">
      <c r="A561" s="1" t="s">
        <v>1043</v>
      </c>
      <c r="B561" s="1">
        <v>46419</v>
      </c>
    </row>
    <row r="562" spans="1:2">
      <c r="A562" s="1" t="s">
        <v>1044</v>
      </c>
      <c r="B562" s="1">
        <v>27533</v>
      </c>
    </row>
    <row r="563" spans="1:2">
      <c r="A563" s="1" t="s">
        <v>1045</v>
      </c>
      <c r="B563" s="1">
        <v>28928</v>
      </c>
    </row>
    <row r="564" spans="1:2">
      <c r="A564" s="1" t="s">
        <v>1046</v>
      </c>
      <c r="B564" s="1">
        <v>30323</v>
      </c>
    </row>
    <row r="565" spans="1:2">
      <c r="A565" s="1" t="s">
        <v>1047</v>
      </c>
      <c r="B565" s="1">
        <v>31718</v>
      </c>
    </row>
    <row r="566" spans="1:2">
      <c r="A566" s="1" t="s">
        <v>1048</v>
      </c>
      <c r="B566" s="1">
        <v>33113</v>
      </c>
    </row>
    <row r="567" spans="1:2">
      <c r="A567" s="1" t="s">
        <v>1049</v>
      </c>
      <c r="B567" s="1">
        <v>34508</v>
      </c>
    </row>
    <row r="568" spans="1:2">
      <c r="A568" s="1" t="s">
        <v>1050</v>
      </c>
      <c r="B568" s="1">
        <v>35903</v>
      </c>
    </row>
    <row r="569" spans="1:2">
      <c r="A569" s="1" t="s">
        <v>1051</v>
      </c>
      <c r="B569" s="1">
        <v>37298</v>
      </c>
    </row>
    <row r="570" spans="1:2">
      <c r="A570" s="1" t="s">
        <v>1052</v>
      </c>
      <c r="B570" s="1">
        <v>38693</v>
      </c>
    </row>
    <row r="571" spans="1:2">
      <c r="A571" s="1" t="s">
        <v>1053</v>
      </c>
      <c r="B571" s="1">
        <v>40088</v>
      </c>
    </row>
    <row r="572" spans="1:2">
      <c r="A572" s="1" t="s">
        <v>1054</v>
      </c>
      <c r="B572" s="1">
        <v>41483</v>
      </c>
    </row>
    <row r="573" spans="1:2">
      <c r="A573" s="1" t="s">
        <v>1055</v>
      </c>
      <c r="B573" s="1">
        <v>42878</v>
      </c>
    </row>
    <row r="574" spans="1:2">
      <c r="A574" s="1" t="s">
        <v>1056</v>
      </c>
      <c r="B574" s="1">
        <v>44273</v>
      </c>
    </row>
    <row r="575" spans="1:2">
      <c r="A575" s="1" t="s">
        <v>1057</v>
      </c>
      <c r="B575" s="1">
        <v>45668</v>
      </c>
    </row>
    <row r="576" spans="1:2">
      <c r="A576" s="1" t="s">
        <v>1058</v>
      </c>
      <c r="B576" s="1">
        <v>47347</v>
      </c>
    </row>
    <row r="577" spans="1:2">
      <c r="A577" s="1" t="s">
        <v>1059</v>
      </c>
      <c r="B577" s="1">
        <v>29856</v>
      </c>
    </row>
    <row r="578" spans="1:2">
      <c r="A578" s="1" t="s">
        <v>1060</v>
      </c>
      <c r="B578" s="1">
        <v>31252</v>
      </c>
    </row>
    <row r="579" spans="1:2">
      <c r="A579" s="1" t="s">
        <v>1061</v>
      </c>
      <c r="B579" s="1">
        <v>32647</v>
      </c>
    </row>
    <row r="580" spans="1:2">
      <c r="A580" s="1" t="s">
        <v>1062</v>
      </c>
      <c r="B580" s="1">
        <v>34042</v>
      </c>
    </row>
    <row r="581" spans="1:2">
      <c r="A581" s="1" t="s">
        <v>1063</v>
      </c>
      <c r="B581" s="1">
        <v>35737</v>
      </c>
    </row>
    <row r="582" spans="1:2">
      <c r="A582" s="1" t="s">
        <v>1064</v>
      </c>
      <c r="B582" s="1">
        <v>36832</v>
      </c>
    </row>
    <row r="583" spans="1:2">
      <c r="A583" s="1" t="s">
        <v>1065</v>
      </c>
      <c r="B583" s="1">
        <v>38227</v>
      </c>
    </row>
    <row r="584" spans="1:2">
      <c r="A584" s="1" t="s">
        <v>1066</v>
      </c>
      <c r="B584" s="1">
        <v>39622</v>
      </c>
    </row>
    <row r="585" spans="1:2">
      <c r="A585" s="1" t="s">
        <v>1067</v>
      </c>
      <c r="B585" s="1">
        <v>41017</v>
      </c>
    </row>
    <row r="586" spans="1:2">
      <c r="A586" s="1" t="s">
        <v>1068</v>
      </c>
      <c r="B586" s="1">
        <v>42412</v>
      </c>
    </row>
    <row r="587" spans="1:2">
      <c r="A587" s="1" t="s">
        <v>1069</v>
      </c>
      <c r="B587" s="1">
        <v>43807</v>
      </c>
    </row>
    <row r="588" spans="1:2">
      <c r="A588" s="1" t="s">
        <v>1070</v>
      </c>
      <c r="B588" s="1">
        <v>45402</v>
      </c>
    </row>
    <row r="589" spans="1:2">
      <c r="A589" s="1" t="s">
        <v>1071</v>
      </c>
      <c r="B589" s="1">
        <v>46597</v>
      </c>
    </row>
    <row r="590" spans="1:2">
      <c r="A590" s="1" t="s">
        <v>1072</v>
      </c>
      <c r="B590" s="1">
        <v>48276</v>
      </c>
    </row>
    <row r="591" spans="1:2">
      <c r="A591" s="1" t="s">
        <v>1073</v>
      </c>
      <c r="B591" s="1">
        <v>32180</v>
      </c>
    </row>
    <row r="592" spans="1:2">
      <c r="A592" s="1" t="s">
        <v>1074</v>
      </c>
      <c r="B592" s="1">
        <v>33575</v>
      </c>
    </row>
    <row r="593" spans="1:2">
      <c r="A593" s="1" t="s">
        <v>1075</v>
      </c>
      <c r="B593" s="1">
        <v>34970</v>
      </c>
    </row>
    <row r="594" spans="1:2">
      <c r="A594" s="1" t="s">
        <v>1076</v>
      </c>
      <c r="B594" s="1">
        <v>36365</v>
      </c>
    </row>
    <row r="595" spans="1:2">
      <c r="A595" s="1" t="s">
        <v>1077</v>
      </c>
      <c r="B595" s="1">
        <v>37760</v>
      </c>
    </row>
    <row r="596" spans="1:2">
      <c r="A596" s="1" t="s">
        <v>1078</v>
      </c>
      <c r="B596" s="1">
        <v>39155</v>
      </c>
    </row>
    <row r="597" spans="1:2">
      <c r="A597" s="1" t="s">
        <v>1079</v>
      </c>
      <c r="B597" s="1">
        <v>40550</v>
      </c>
    </row>
    <row r="598" spans="1:2">
      <c r="A598" s="1" t="s">
        <v>1080</v>
      </c>
      <c r="B598" s="1">
        <v>41945</v>
      </c>
    </row>
    <row r="599" spans="1:2">
      <c r="A599" s="1" t="s">
        <v>1081</v>
      </c>
      <c r="B599" s="1">
        <v>43340</v>
      </c>
    </row>
    <row r="600" spans="1:2">
      <c r="A600" s="1" t="s">
        <v>1082</v>
      </c>
      <c r="B600" s="1">
        <v>44735</v>
      </c>
    </row>
    <row r="601" spans="1:2">
      <c r="A601" s="1" t="s">
        <v>1083</v>
      </c>
      <c r="B601" s="1">
        <v>46130</v>
      </c>
    </row>
    <row r="602" spans="1:2">
      <c r="A602" s="1" t="s">
        <v>1084</v>
      </c>
      <c r="B602" s="1">
        <v>47525</v>
      </c>
    </row>
    <row r="603" spans="1:2">
      <c r="A603" s="1" t="s">
        <v>1085</v>
      </c>
      <c r="B603" s="1">
        <v>49205</v>
      </c>
    </row>
    <row r="604" spans="1:2">
      <c r="A604" s="1" t="s">
        <v>1086</v>
      </c>
      <c r="B604" s="1">
        <v>34504</v>
      </c>
    </row>
    <row r="605" spans="1:2">
      <c r="A605" s="1" t="s">
        <v>1087</v>
      </c>
      <c r="B605" s="1">
        <v>35899</v>
      </c>
    </row>
    <row r="606" spans="1:2">
      <c r="A606" s="1" t="s">
        <v>1088</v>
      </c>
      <c r="B606" s="1">
        <v>37294</v>
      </c>
    </row>
    <row r="607" spans="1:2">
      <c r="A607" s="1" t="s">
        <v>1089</v>
      </c>
      <c r="B607" s="1">
        <v>38689</v>
      </c>
    </row>
    <row r="608" spans="1:2">
      <c r="A608" s="1" t="s">
        <v>1090</v>
      </c>
      <c r="B608" s="1">
        <v>40084</v>
      </c>
    </row>
    <row r="609" spans="1:2">
      <c r="A609" s="1" t="s">
        <v>1091</v>
      </c>
      <c r="B609" s="1">
        <v>41479</v>
      </c>
    </row>
    <row r="610" spans="1:2">
      <c r="A610" s="1" t="s">
        <v>1092</v>
      </c>
      <c r="B610" s="1">
        <v>42874</v>
      </c>
    </row>
    <row r="611" spans="1:2">
      <c r="A611" s="1" t="s">
        <v>1093</v>
      </c>
      <c r="B611" s="1">
        <v>44269</v>
      </c>
    </row>
    <row r="612" spans="1:2">
      <c r="A612" s="1" t="s">
        <v>1094</v>
      </c>
      <c r="B612" s="1">
        <v>45664</v>
      </c>
    </row>
    <row r="613" spans="1:2">
      <c r="A613" s="1" t="s">
        <v>1095</v>
      </c>
      <c r="B613" s="1">
        <v>47059</v>
      </c>
    </row>
    <row r="614" spans="1:2">
      <c r="A614" s="1" t="s">
        <v>1096</v>
      </c>
      <c r="B614" s="1">
        <v>48454</v>
      </c>
    </row>
    <row r="615" spans="1:2">
      <c r="A615" s="1" t="s">
        <v>1097</v>
      </c>
      <c r="B615" s="1">
        <v>50133</v>
      </c>
    </row>
    <row r="616" spans="1:2">
      <c r="A616" s="1" t="s">
        <v>1098</v>
      </c>
      <c r="B616" s="1">
        <v>36827</v>
      </c>
    </row>
    <row r="617" spans="1:2">
      <c r="A617" s="1" t="s">
        <v>1099</v>
      </c>
      <c r="B617" s="1">
        <v>38222</v>
      </c>
    </row>
    <row r="618" spans="1:2">
      <c r="A618" s="1" t="s">
        <v>1100</v>
      </c>
      <c r="B618" s="1">
        <v>39617</v>
      </c>
    </row>
    <row r="619" spans="1:2">
      <c r="A619" s="1" t="s">
        <v>1101</v>
      </c>
      <c r="B619" s="1">
        <v>41012</v>
      </c>
    </row>
    <row r="620" spans="1:2">
      <c r="A620" s="1" t="s">
        <v>1102</v>
      </c>
      <c r="B620" s="1">
        <v>42407</v>
      </c>
    </row>
    <row r="621" spans="1:2">
      <c r="A621" s="1" t="s">
        <v>1103</v>
      </c>
      <c r="B621" s="1">
        <v>43802</v>
      </c>
    </row>
    <row r="622" spans="1:2">
      <c r="A622" s="1" t="s">
        <v>1104</v>
      </c>
      <c r="B622" s="1">
        <v>45197</v>
      </c>
    </row>
    <row r="623" spans="1:2">
      <c r="A623" s="1" t="s">
        <v>1105</v>
      </c>
      <c r="B623" s="1">
        <v>46292</v>
      </c>
    </row>
    <row r="624" spans="1:2">
      <c r="A624" s="1" t="s">
        <v>1106</v>
      </c>
      <c r="B624" s="1">
        <v>47987</v>
      </c>
    </row>
    <row r="625" spans="1:2">
      <c r="A625" s="1" t="s">
        <v>1107</v>
      </c>
      <c r="B625" s="1">
        <v>49383</v>
      </c>
    </row>
    <row r="626" spans="1:2">
      <c r="A626" s="1" t="s">
        <v>1108</v>
      </c>
      <c r="B626" s="1">
        <v>51062</v>
      </c>
    </row>
    <row r="627" spans="1:2">
      <c r="A627" s="1" t="s">
        <v>1109</v>
      </c>
      <c r="B627" s="1">
        <v>39151</v>
      </c>
    </row>
    <row r="628" spans="1:2">
      <c r="A628" s="1" t="s">
        <v>1110</v>
      </c>
      <c r="B628" s="1">
        <v>40546</v>
      </c>
    </row>
    <row r="629" spans="1:2">
      <c r="A629" s="1" t="s">
        <v>1111</v>
      </c>
      <c r="B629" s="1">
        <v>41941</v>
      </c>
    </row>
    <row r="630" spans="1:2">
      <c r="A630" s="1" t="s">
        <v>1112</v>
      </c>
      <c r="B630" s="1">
        <v>43336</v>
      </c>
    </row>
    <row r="631" spans="1:2">
      <c r="A631" s="1" t="s">
        <v>1113</v>
      </c>
      <c r="B631" s="1">
        <v>44731</v>
      </c>
    </row>
    <row r="632" spans="1:2">
      <c r="A632" s="1" t="s">
        <v>1114</v>
      </c>
      <c r="B632" s="1">
        <v>46126</v>
      </c>
    </row>
    <row r="633" spans="1:2">
      <c r="A633" s="1" t="s">
        <v>1115</v>
      </c>
      <c r="B633" s="1">
        <v>47521</v>
      </c>
    </row>
    <row r="634" spans="1:2">
      <c r="A634" s="1" t="s">
        <v>1116</v>
      </c>
      <c r="B634" s="1">
        <v>48916</v>
      </c>
    </row>
    <row r="635" spans="1:2">
      <c r="A635" s="1" t="s">
        <v>1117</v>
      </c>
      <c r="B635" s="1">
        <v>50312</v>
      </c>
    </row>
    <row r="636" spans="1:2">
      <c r="A636" s="1" t="s">
        <v>1118</v>
      </c>
      <c r="B636" s="1">
        <v>51991</v>
      </c>
    </row>
    <row r="637" spans="1:2">
      <c r="A637" s="1" t="s">
        <v>1119</v>
      </c>
      <c r="B637" s="1">
        <v>41475</v>
      </c>
    </row>
    <row r="638" spans="1:2">
      <c r="A638" s="1" t="s">
        <v>1120</v>
      </c>
      <c r="B638" s="1">
        <v>42870</v>
      </c>
    </row>
    <row r="639" spans="1:2">
      <c r="A639" s="1" t="s">
        <v>1121</v>
      </c>
      <c r="B639" s="1">
        <v>44265</v>
      </c>
    </row>
    <row r="640" spans="1:2">
      <c r="A640" s="1" t="s">
        <v>1122</v>
      </c>
      <c r="B640" s="1">
        <v>45660</v>
      </c>
    </row>
    <row r="641" spans="1:2">
      <c r="A641" s="1" t="s">
        <v>1123</v>
      </c>
      <c r="B641" s="1">
        <v>47055</v>
      </c>
    </row>
    <row r="642" spans="1:2">
      <c r="A642" s="1" t="s">
        <v>1124</v>
      </c>
      <c r="B642" s="1">
        <v>48450</v>
      </c>
    </row>
    <row r="643" spans="1:2">
      <c r="A643" s="1" t="s">
        <v>1125</v>
      </c>
      <c r="B643" s="1">
        <v>49845</v>
      </c>
    </row>
    <row r="644" spans="1:2">
      <c r="A644" s="1" t="s">
        <v>1126</v>
      </c>
      <c r="B644" s="1">
        <v>51241</v>
      </c>
    </row>
    <row r="645" spans="1:2">
      <c r="A645" s="1" t="s">
        <v>1127</v>
      </c>
      <c r="B645" s="1">
        <v>52920</v>
      </c>
    </row>
    <row r="646" spans="1:2">
      <c r="A646" s="1" t="s">
        <v>1128</v>
      </c>
      <c r="B646" s="1">
        <v>43799</v>
      </c>
    </row>
    <row r="647" spans="1:2">
      <c r="A647" s="1" t="s">
        <v>1129</v>
      </c>
      <c r="B647" s="1">
        <v>45194</v>
      </c>
    </row>
    <row r="648" spans="1:2">
      <c r="A648" s="1" t="s">
        <v>1130</v>
      </c>
      <c r="B648" s="1">
        <v>46589</v>
      </c>
    </row>
    <row r="649" spans="1:2">
      <c r="A649" s="1" t="s">
        <v>1131</v>
      </c>
      <c r="B649" s="1">
        <v>47984</v>
      </c>
    </row>
    <row r="650" spans="1:2">
      <c r="A650" s="1" t="s">
        <v>1132</v>
      </c>
      <c r="B650" s="1">
        <v>49379</v>
      </c>
    </row>
    <row r="651" spans="1:2">
      <c r="A651" s="1" t="s">
        <v>1133</v>
      </c>
      <c r="B651" s="1">
        <v>50774</v>
      </c>
    </row>
    <row r="652" spans="1:2">
      <c r="A652" s="1" t="s">
        <v>1134</v>
      </c>
      <c r="B652" s="1">
        <v>52170</v>
      </c>
    </row>
    <row r="653" spans="1:2">
      <c r="A653" s="1" t="s">
        <v>1135</v>
      </c>
      <c r="B653" s="1">
        <v>53849</v>
      </c>
    </row>
    <row r="654" spans="1:2">
      <c r="A654" s="1" t="s">
        <v>1136</v>
      </c>
      <c r="B654" s="1">
        <v>46123</v>
      </c>
    </row>
    <row r="655" spans="1:2">
      <c r="A655" s="1" t="s">
        <v>1137</v>
      </c>
      <c r="B655" s="1">
        <v>47518</v>
      </c>
    </row>
    <row r="656" spans="1:2">
      <c r="A656" s="1" t="s">
        <v>1138</v>
      </c>
      <c r="B656" s="1">
        <v>48913</v>
      </c>
    </row>
    <row r="657" spans="1:2">
      <c r="A657" s="1" t="s">
        <v>1139</v>
      </c>
      <c r="B657" s="1">
        <v>50308</v>
      </c>
    </row>
    <row r="658" spans="1:2">
      <c r="A658" s="1" t="s">
        <v>1140</v>
      </c>
      <c r="B658" s="1">
        <v>51703</v>
      </c>
    </row>
    <row r="659" spans="1:2">
      <c r="A659" s="1" t="s">
        <v>1141</v>
      </c>
      <c r="B659" s="1">
        <v>53099</v>
      </c>
    </row>
    <row r="660" spans="1:2">
      <c r="A660" s="1" t="s">
        <v>1142</v>
      </c>
      <c r="B660" s="1">
        <v>54778</v>
      </c>
    </row>
    <row r="661" spans="1:2">
      <c r="A661" s="1" t="s">
        <v>1143</v>
      </c>
      <c r="B661" s="1">
        <v>48447</v>
      </c>
    </row>
    <row r="662" spans="1:2">
      <c r="A662" s="1" t="s">
        <v>1144</v>
      </c>
      <c r="B662" s="1">
        <v>49842</v>
      </c>
    </row>
    <row r="663" spans="1:2">
      <c r="A663" s="1" t="s">
        <v>1145</v>
      </c>
      <c r="B663" s="1">
        <v>51237</v>
      </c>
    </row>
    <row r="664" spans="1:2">
      <c r="A664" s="1" t="s">
        <v>1146</v>
      </c>
      <c r="B664" s="1">
        <v>52632</v>
      </c>
    </row>
    <row r="665" spans="1:2">
      <c r="A665" s="1" t="s">
        <v>1147</v>
      </c>
      <c r="B665" s="1">
        <v>54028</v>
      </c>
    </row>
    <row r="666" spans="1:2">
      <c r="A666" s="1" t="s">
        <v>1148</v>
      </c>
      <c r="B666" s="1">
        <v>55707</v>
      </c>
    </row>
    <row r="667" spans="1:2">
      <c r="A667" s="1" t="s">
        <v>1149</v>
      </c>
      <c r="B667" s="1">
        <v>50771</v>
      </c>
    </row>
    <row r="668" spans="1:2">
      <c r="A668" s="1" t="s">
        <v>1150</v>
      </c>
      <c r="B668" s="1">
        <v>52166</v>
      </c>
    </row>
    <row r="669" spans="1:2">
      <c r="A669" s="1" t="s">
        <v>1151</v>
      </c>
      <c r="B669" s="1">
        <v>53561</v>
      </c>
    </row>
    <row r="670" spans="1:2">
      <c r="A670" s="1" t="s">
        <v>1152</v>
      </c>
      <c r="B670" s="1">
        <v>54957</v>
      </c>
    </row>
    <row r="671" spans="1:2">
      <c r="A671" s="1" t="s">
        <v>1153</v>
      </c>
      <c r="B671" s="1">
        <v>56636</v>
      </c>
    </row>
    <row r="672" spans="1:2">
      <c r="A672" s="1" t="s">
        <v>1154</v>
      </c>
      <c r="B672" s="1">
        <v>53095</v>
      </c>
    </row>
    <row r="673" spans="1:2">
      <c r="A673" s="1" t="s">
        <v>1155</v>
      </c>
      <c r="B673" s="1">
        <v>54490</v>
      </c>
    </row>
    <row r="674" spans="1:2">
      <c r="A674" s="1" t="s">
        <v>1156</v>
      </c>
      <c r="B674" s="1">
        <v>55886</v>
      </c>
    </row>
    <row r="675" spans="1:2">
      <c r="A675" s="1" t="s">
        <v>1157</v>
      </c>
      <c r="B675" s="1">
        <v>57565</v>
      </c>
    </row>
    <row r="676" spans="1:2">
      <c r="A676" s="1" t="s">
        <v>1158</v>
      </c>
      <c r="B676" s="1">
        <v>55419</v>
      </c>
    </row>
    <row r="677" spans="1:2">
      <c r="A677" s="1" t="s">
        <v>1159</v>
      </c>
      <c r="B677" s="1">
        <v>56815</v>
      </c>
    </row>
    <row r="678" spans="1:2">
      <c r="A678" s="1" t="s">
        <v>1160</v>
      </c>
      <c r="B678" s="1">
        <v>58494</v>
      </c>
    </row>
    <row r="679" spans="1:2">
      <c r="A679" s="1" t="s">
        <v>1161</v>
      </c>
      <c r="B679" s="1">
        <v>57744</v>
      </c>
    </row>
    <row r="680" spans="1:2">
      <c r="A680" s="1" t="s">
        <v>1162</v>
      </c>
      <c r="B680" s="1">
        <v>59423</v>
      </c>
    </row>
    <row r="681" spans="1:2">
      <c r="A681" s="1" t="s">
        <v>1163</v>
      </c>
      <c r="B681" s="1">
        <v>60352</v>
      </c>
    </row>
    <row r="682" spans="1:2">
      <c r="A682" s="1" t="s">
        <v>1164</v>
      </c>
    </row>
    <row r="683" spans="1:2">
      <c r="A683" s="1" t="s">
        <v>1165</v>
      </c>
      <c r="B683" s="1">
        <v>14254</v>
      </c>
    </row>
    <row r="684" spans="1:2">
      <c r="A684" s="1" t="s">
        <v>1166</v>
      </c>
      <c r="B684" s="1">
        <v>15723</v>
      </c>
    </row>
    <row r="685" spans="1:2">
      <c r="A685" s="1" t="s">
        <v>1167</v>
      </c>
      <c r="B685" s="1">
        <v>17191</v>
      </c>
    </row>
    <row r="686" spans="1:2">
      <c r="A686" s="1" t="s">
        <v>1168</v>
      </c>
      <c r="B686" s="1">
        <v>18659</v>
      </c>
    </row>
    <row r="687" spans="1:2">
      <c r="A687" s="1" t="s">
        <v>1169</v>
      </c>
      <c r="B687" s="1">
        <v>19980</v>
      </c>
    </row>
    <row r="688" spans="1:2">
      <c r="A688" s="1" t="s">
        <v>1170</v>
      </c>
      <c r="B688" s="1">
        <v>21239</v>
      </c>
    </row>
    <row r="689" spans="1:2">
      <c r="A689" s="1" t="s">
        <v>1171</v>
      </c>
      <c r="B689" s="1">
        <v>22498</v>
      </c>
    </row>
    <row r="690" spans="1:2">
      <c r="A690" s="1" t="s">
        <v>1172</v>
      </c>
      <c r="B690" s="1">
        <v>23757</v>
      </c>
    </row>
    <row r="691" spans="1:2">
      <c r="A691" s="1" t="s">
        <v>1173</v>
      </c>
      <c r="B691" s="1">
        <v>25015</v>
      </c>
    </row>
    <row r="692" spans="1:2">
      <c r="A692" s="1" t="s">
        <v>1174</v>
      </c>
      <c r="B692" s="1">
        <v>26274</v>
      </c>
    </row>
    <row r="693" spans="1:2">
      <c r="A693" s="1" t="s">
        <v>1175</v>
      </c>
      <c r="B693" s="1">
        <v>27533</v>
      </c>
    </row>
    <row r="694" spans="1:2">
      <c r="A694" s="1" t="s">
        <v>1176</v>
      </c>
      <c r="B694" s="1">
        <v>28792</v>
      </c>
    </row>
    <row r="695" spans="1:2">
      <c r="A695" s="1" t="s">
        <v>1177</v>
      </c>
      <c r="B695" s="1">
        <v>30050</v>
      </c>
    </row>
    <row r="696" spans="1:2">
      <c r="A696" s="1" t="s">
        <v>1178</v>
      </c>
      <c r="B696" s="1">
        <v>31309</v>
      </c>
    </row>
    <row r="697" spans="1:2">
      <c r="A697" s="1" t="s">
        <v>1179</v>
      </c>
      <c r="B697" s="1">
        <v>32568</v>
      </c>
    </row>
    <row r="698" spans="1:2">
      <c r="A698" s="1" t="s">
        <v>1180</v>
      </c>
      <c r="B698" s="1">
        <v>33827</v>
      </c>
    </row>
    <row r="699" spans="1:2">
      <c r="A699" s="1" t="s">
        <v>1181</v>
      </c>
      <c r="B699" s="1">
        <v>35085</v>
      </c>
    </row>
    <row r="700" spans="1:2">
      <c r="A700" s="1" t="s">
        <v>1182</v>
      </c>
      <c r="B700" s="1">
        <v>36344</v>
      </c>
    </row>
    <row r="701" spans="1:2">
      <c r="A701" s="1" t="s">
        <v>1183</v>
      </c>
      <c r="B701" s="1">
        <v>37603</v>
      </c>
    </row>
    <row r="702" spans="1:2">
      <c r="A702" s="1" t="s">
        <v>1184</v>
      </c>
      <c r="B702" s="1">
        <v>38862</v>
      </c>
    </row>
    <row r="703" spans="1:2">
      <c r="A703" s="1" t="s">
        <v>1185</v>
      </c>
      <c r="B703" s="1">
        <v>16582</v>
      </c>
    </row>
    <row r="704" spans="1:2">
      <c r="A704" s="1" t="s">
        <v>1186</v>
      </c>
      <c r="B704" s="1">
        <v>18050</v>
      </c>
    </row>
    <row r="705" spans="1:2">
      <c r="A705" s="1" t="s">
        <v>1187</v>
      </c>
      <c r="B705" s="1">
        <v>19518</v>
      </c>
    </row>
    <row r="706" spans="1:2">
      <c r="A706" s="1" t="s">
        <v>1188</v>
      </c>
      <c r="B706" s="1">
        <v>20839</v>
      </c>
    </row>
    <row r="707" spans="1:2">
      <c r="A707" s="1" t="s">
        <v>1189</v>
      </c>
      <c r="B707" s="1">
        <v>22098</v>
      </c>
    </row>
    <row r="708" spans="1:2">
      <c r="A708" s="1" t="s">
        <v>1190</v>
      </c>
      <c r="B708" s="1">
        <v>23357</v>
      </c>
    </row>
    <row r="709" spans="1:2">
      <c r="A709" s="1" t="s">
        <v>1191</v>
      </c>
      <c r="B709" s="1">
        <v>24616</v>
      </c>
    </row>
    <row r="710" spans="1:2">
      <c r="A710" s="1" t="s">
        <v>1192</v>
      </c>
      <c r="B710" s="1">
        <v>25874</v>
      </c>
    </row>
    <row r="711" spans="1:2">
      <c r="A711" s="1" t="s">
        <v>1193</v>
      </c>
      <c r="B711" s="1">
        <v>27133</v>
      </c>
    </row>
    <row r="712" spans="1:2">
      <c r="A712" s="1" t="s">
        <v>1194</v>
      </c>
      <c r="B712" s="1">
        <v>28392</v>
      </c>
    </row>
    <row r="713" spans="1:2">
      <c r="A713" s="1" t="s">
        <v>1195</v>
      </c>
      <c r="B713" s="1">
        <v>29651</v>
      </c>
    </row>
    <row r="714" spans="1:2">
      <c r="A714" s="1" t="s">
        <v>1196</v>
      </c>
      <c r="B714" s="1">
        <v>30909</v>
      </c>
    </row>
    <row r="715" spans="1:2">
      <c r="A715" s="1" t="s">
        <v>1197</v>
      </c>
      <c r="B715" s="1">
        <v>32168</v>
      </c>
    </row>
    <row r="716" spans="1:2">
      <c r="A716" s="1" t="s">
        <v>1198</v>
      </c>
      <c r="B716" s="1">
        <v>33427</v>
      </c>
    </row>
    <row r="717" spans="1:2">
      <c r="A717" s="1" t="s">
        <v>1199</v>
      </c>
      <c r="B717" s="1">
        <v>34686</v>
      </c>
    </row>
    <row r="718" spans="1:2">
      <c r="A718" s="1" t="s">
        <v>1200</v>
      </c>
      <c r="B718" s="1">
        <v>35944</v>
      </c>
    </row>
    <row r="719" spans="1:2">
      <c r="A719" s="1" t="s">
        <v>1201</v>
      </c>
      <c r="B719" s="1">
        <v>37203</v>
      </c>
    </row>
    <row r="720" spans="1:2">
      <c r="A720" s="1" t="s">
        <v>1202</v>
      </c>
      <c r="B720" s="1">
        <v>38462</v>
      </c>
    </row>
    <row r="721" spans="1:2">
      <c r="A721" s="1" t="s">
        <v>1203</v>
      </c>
      <c r="B721" s="1">
        <v>39721</v>
      </c>
    </row>
    <row r="722" spans="1:2">
      <c r="A722" s="1" t="s">
        <v>1204</v>
      </c>
      <c r="B722" s="1">
        <v>18909</v>
      </c>
    </row>
    <row r="723" spans="1:2">
      <c r="A723" s="1" t="s">
        <v>1205</v>
      </c>
      <c r="B723" s="1">
        <v>20377</v>
      </c>
    </row>
    <row r="724" spans="1:2">
      <c r="A724" s="1" t="s">
        <v>1206</v>
      </c>
      <c r="B724" s="1">
        <v>21699</v>
      </c>
    </row>
    <row r="725" spans="1:2">
      <c r="A725" s="1" t="s">
        <v>1207</v>
      </c>
      <c r="B725" s="1">
        <v>22957</v>
      </c>
    </row>
    <row r="726" spans="1:2">
      <c r="A726" s="1" t="s">
        <v>1208</v>
      </c>
      <c r="B726" s="1">
        <v>24216</v>
      </c>
    </row>
    <row r="727" spans="1:2">
      <c r="A727" s="1" t="s">
        <v>1209</v>
      </c>
      <c r="B727" s="1">
        <v>25475</v>
      </c>
    </row>
    <row r="728" spans="1:2">
      <c r="A728" s="1" t="s">
        <v>1210</v>
      </c>
      <c r="B728" s="1">
        <v>26734</v>
      </c>
    </row>
    <row r="729" spans="1:2">
      <c r="A729" s="1" t="s">
        <v>1211</v>
      </c>
      <c r="B729" s="1">
        <v>27992</v>
      </c>
    </row>
    <row r="730" spans="1:2">
      <c r="A730" s="1" t="s">
        <v>1212</v>
      </c>
      <c r="B730" s="1">
        <v>29251</v>
      </c>
    </row>
    <row r="731" spans="1:2">
      <c r="A731" s="1" t="s">
        <v>1213</v>
      </c>
      <c r="B731" s="1">
        <v>30510</v>
      </c>
    </row>
    <row r="732" spans="1:2">
      <c r="A732" s="1" t="s">
        <v>1214</v>
      </c>
      <c r="B732" s="1">
        <v>31769</v>
      </c>
    </row>
    <row r="733" spans="1:2">
      <c r="A733" s="1" t="s">
        <v>1215</v>
      </c>
      <c r="B733" s="1">
        <v>33027</v>
      </c>
    </row>
    <row r="734" spans="1:2">
      <c r="A734" s="1" t="s">
        <v>1216</v>
      </c>
      <c r="B734" s="1">
        <v>34386</v>
      </c>
    </row>
    <row r="735" spans="1:2">
      <c r="A735" s="1" t="s">
        <v>1217</v>
      </c>
      <c r="B735" s="1">
        <v>35545</v>
      </c>
    </row>
    <row r="736" spans="1:2">
      <c r="A736" s="1" t="s">
        <v>1218</v>
      </c>
      <c r="B736" s="1">
        <v>36804</v>
      </c>
    </row>
    <row r="737" spans="1:2">
      <c r="A737" s="1" t="s">
        <v>1219</v>
      </c>
      <c r="B737" s="1">
        <v>38062</v>
      </c>
    </row>
    <row r="738" spans="1:2">
      <c r="A738" s="1" t="s">
        <v>1220</v>
      </c>
      <c r="B738" s="1">
        <v>39321</v>
      </c>
    </row>
    <row r="739" spans="1:2">
      <c r="A739" s="1" t="s">
        <v>1221</v>
      </c>
      <c r="B739" s="1">
        <v>40738</v>
      </c>
    </row>
    <row r="740" spans="1:2">
      <c r="A740" s="1" t="s">
        <v>1222</v>
      </c>
      <c r="B740" s="1">
        <v>21237</v>
      </c>
    </row>
    <row r="741" spans="1:2">
      <c r="A741" s="1" t="s">
        <v>1223</v>
      </c>
      <c r="B741" s="1">
        <v>22558</v>
      </c>
    </row>
    <row r="742" spans="1:2">
      <c r="A742" s="1" t="s">
        <v>1224</v>
      </c>
      <c r="B742" s="1">
        <v>23816</v>
      </c>
    </row>
    <row r="743" spans="1:2">
      <c r="A743" s="1" t="s">
        <v>1225</v>
      </c>
      <c r="B743" s="1">
        <v>25075</v>
      </c>
    </row>
    <row r="744" spans="1:2">
      <c r="A744" s="1" t="s">
        <v>1226</v>
      </c>
      <c r="B744" s="1">
        <v>26334</v>
      </c>
    </row>
    <row r="745" spans="1:2">
      <c r="A745" s="1" t="s">
        <v>1227</v>
      </c>
      <c r="B745" s="1">
        <v>27593</v>
      </c>
    </row>
    <row r="746" spans="1:2">
      <c r="A746" s="1" t="s">
        <v>1228</v>
      </c>
      <c r="B746" s="1">
        <v>28851</v>
      </c>
    </row>
    <row r="747" spans="1:2">
      <c r="A747" s="1" t="s">
        <v>1229</v>
      </c>
      <c r="B747" s="1">
        <v>30110</v>
      </c>
    </row>
    <row r="748" spans="1:2">
      <c r="A748" s="1" t="s">
        <v>1230</v>
      </c>
      <c r="B748" s="1">
        <v>31369</v>
      </c>
    </row>
    <row r="749" spans="1:2">
      <c r="A749" s="1" t="s">
        <v>1231</v>
      </c>
      <c r="B749" s="1">
        <v>32628</v>
      </c>
    </row>
    <row r="750" spans="1:2">
      <c r="A750" s="1" t="s">
        <v>1232</v>
      </c>
      <c r="B750" s="1">
        <v>33886</v>
      </c>
    </row>
    <row r="751" spans="1:2">
      <c r="A751" s="1" t="s">
        <v>1233</v>
      </c>
      <c r="B751" s="1">
        <v>35145</v>
      </c>
    </row>
    <row r="752" spans="1:2">
      <c r="A752" s="1" t="s">
        <v>1234</v>
      </c>
      <c r="B752" s="1">
        <v>36404</v>
      </c>
    </row>
    <row r="753" spans="1:2">
      <c r="A753" s="1" t="s">
        <v>1235</v>
      </c>
      <c r="B753" s="1">
        <v>37663</v>
      </c>
    </row>
    <row r="754" spans="1:2">
      <c r="A754" s="1" t="s">
        <v>1236</v>
      </c>
      <c r="B754" s="1">
        <v>38922</v>
      </c>
    </row>
    <row r="755" spans="1:2">
      <c r="A755" s="1" t="s">
        <v>1237</v>
      </c>
      <c r="B755" s="1">
        <v>40180</v>
      </c>
    </row>
    <row r="756" spans="1:2">
      <c r="A756" s="1" t="s">
        <v>1238</v>
      </c>
      <c r="B756" s="1">
        <v>41597</v>
      </c>
    </row>
    <row r="757" spans="1:2">
      <c r="A757" s="1" t="s">
        <v>1239</v>
      </c>
      <c r="B757" s="1">
        <v>21417</v>
      </c>
    </row>
    <row r="758" spans="1:2">
      <c r="A758" s="1" t="s">
        <v>1240</v>
      </c>
      <c r="B758" s="1">
        <v>24676</v>
      </c>
    </row>
    <row r="759" spans="1:2">
      <c r="A759" s="1" t="s">
        <v>1241</v>
      </c>
      <c r="B759" s="1">
        <v>25934</v>
      </c>
    </row>
    <row r="760" spans="1:2">
      <c r="A760" s="1" t="s">
        <v>1242</v>
      </c>
      <c r="B760" s="1">
        <v>27193</v>
      </c>
    </row>
    <row r="761" spans="1:2">
      <c r="A761" s="1" t="s">
        <v>1243</v>
      </c>
      <c r="B761" s="1">
        <v>28452</v>
      </c>
    </row>
    <row r="762" spans="1:2">
      <c r="A762" s="1" t="s">
        <v>1244</v>
      </c>
      <c r="B762" s="1">
        <v>29711</v>
      </c>
    </row>
    <row r="763" spans="1:2">
      <c r="A763" s="1" t="s">
        <v>1245</v>
      </c>
      <c r="B763" s="1">
        <v>30969</v>
      </c>
    </row>
    <row r="764" spans="1:2">
      <c r="A764" s="1" t="s">
        <v>1246</v>
      </c>
      <c r="B764" s="1">
        <v>32228</v>
      </c>
    </row>
    <row r="765" spans="1:2">
      <c r="A765" s="1" t="s">
        <v>1247</v>
      </c>
      <c r="B765" s="1">
        <v>33487</v>
      </c>
    </row>
    <row r="766" spans="1:2">
      <c r="A766" s="1" t="s">
        <v>1248</v>
      </c>
      <c r="B766" s="1">
        <v>34746</v>
      </c>
    </row>
    <row r="767" spans="1:2">
      <c r="A767" s="1" t="s">
        <v>1249</v>
      </c>
      <c r="B767" s="1">
        <v>36004</v>
      </c>
    </row>
    <row r="768" spans="1:2">
      <c r="A768" s="1" t="s">
        <v>1250</v>
      </c>
      <c r="B768" s="1">
        <v>37263</v>
      </c>
    </row>
    <row r="769" spans="1:2">
      <c r="A769" s="1" t="s">
        <v>1251</v>
      </c>
      <c r="B769" s="1">
        <v>38522</v>
      </c>
    </row>
    <row r="770" spans="1:2">
      <c r="A770" s="1" t="s">
        <v>1252</v>
      </c>
      <c r="B770" s="1">
        <v>39781</v>
      </c>
    </row>
    <row r="771" spans="1:2">
      <c r="A771" s="1" t="s">
        <v>1253</v>
      </c>
      <c r="B771" s="1">
        <v>41039</v>
      </c>
    </row>
    <row r="772" spans="1:2">
      <c r="A772" s="1" t="s">
        <v>1254</v>
      </c>
      <c r="B772" s="1">
        <v>42456</v>
      </c>
    </row>
    <row r="773" spans="1:2">
      <c r="A773" s="1" t="s">
        <v>1255</v>
      </c>
      <c r="B773" s="1">
        <v>25535</v>
      </c>
    </row>
    <row r="774" spans="1:2">
      <c r="A774" s="1" t="s">
        <v>1256</v>
      </c>
      <c r="B774" s="1">
        <v>26794</v>
      </c>
    </row>
    <row r="775" spans="1:2">
      <c r="A775" s="1" t="s">
        <v>1257</v>
      </c>
      <c r="B775" s="1">
        <v>28052</v>
      </c>
    </row>
    <row r="776" spans="1:2">
      <c r="A776" s="1" t="s">
        <v>1258</v>
      </c>
      <c r="B776" s="1">
        <v>29311</v>
      </c>
    </row>
    <row r="777" spans="1:2">
      <c r="A777" s="1" t="s">
        <v>1259</v>
      </c>
      <c r="B777" s="1">
        <v>30570</v>
      </c>
    </row>
    <row r="778" spans="1:2">
      <c r="A778" s="1" t="s">
        <v>1260</v>
      </c>
      <c r="B778" s="1">
        <v>31829</v>
      </c>
    </row>
    <row r="779" spans="1:2">
      <c r="A779" s="1" t="s">
        <v>1261</v>
      </c>
      <c r="B779" s="1">
        <v>33087</v>
      </c>
    </row>
    <row r="780" spans="1:2">
      <c r="A780" s="1" t="s">
        <v>1262</v>
      </c>
      <c r="B780" s="1">
        <v>34346</v>
      </c>
    </row>
    <row r="781" spans="1:2">
      <c r="A781" s="1" t="s">
        <v>1263</v>
      </c>
      <c r="B781" s="1">
        <v>35605</v>
      </c>
    </row>
    <row r="782" spans="1:2">
      <c r="A782" s="1" t="s">
        <v>1264</v>
      </c>
      <c r="B782" s="1">
        <v>36864</v>
      </c>
    </row>
    <row r="783" spans="1:2">
      <c r="A783" s="1" t="s">
        <v>1265</v>
      </c>
      <c r="B783" s="1">
        <v>38122</v>
      </c>
    </row>
    <row r="784" spans="1:2">
      <c r="A784" s="1" t="s">
        <v>1266</v>
      </c>
      <c r="B784" s="1">
        <v>39381</v>
      </c>
    </row>
    <row r="785" spans="1:2">
      <c r="A785" s="1" t="s">
        <v>1267</v>
      </c>
      <c r="B785" s="1">
        <v>40640</v>
      </c>
    </row>
    <row r="786" spans="1:2">
      <c r="A786" s="1" t="s">
        <v>1268</v>
      </c>
      <c r="B786" s="1">
        <v>41899</v>
      </c>
    </row>
    <row r="787" spans="1:2">
      <c r="A787" s="1" t="s">
        <v>1269</v>
      </c>
      <c r="B787" s="1">
        <v>43315</v>
      </c>
    </row>
    <row r="788" spans="1:2">
      <c r="A788" s="1" t="s">
        <v>1270</v>
      </c>
      <c r="B788" s="1">
        <v>27653</v>
      </c>
    </row>
    <row r="789" spans="1:2">
      <c r="A789" s="1" t="s">
        <v>1271</v>
      </c>
      <c r="B789" s="1">
        <v>28911</v>
      </c>
    </row>
    <row r="790" spans="1:2">
      <c r="A790" s="1" t="s">
        <v>1272</v>
      </c>
      <c r="B790" s="1">
        <v>30170</v>
      </c>
    </row>
    <row r="791" spans="1:2">
      <c r="A791" s="1" t="s">
        <v>1273</v>
      </c>
      <c r="B791" s="1">
        <v>31429</v>
      </c>
    </row>
    <row r="792" spans="1:2">
      <c r="A792" s="1" t="s">
        <v>1274</v>
      </c>
      <c r="B792" s="1">
        <v>32688</v>
      </c>
    </row>
    <row r="793" spans="1:2">
      <c r="A793" s="1" t="s">
        <v>1275</v>
      </c>
      <c r="B793" s="1">
        <v>33946</v>
      </c>
    </row>
    <row r="794" spans="1:2">
      <c r="A794" s="1" t="s">
        <v>1276</v>
      </c>
      <c r="B794" s="1">
        <v>35205</v>
      </c>
    </row>
    <row r="795" spans="1:2">
      <c r="A795" s="1" t="s">
        <v>1277</v>
      </c>
      <c r="B795" s="1">
        <v>36464</v>
      </c>
    </row>
    <row r="796" spans="1:2">
      <c r="A796" s="1" t="s">
        <v>1278</v>
      </c>
      <c r="B796" s="1">
        <v>37723</v>
      </c>
    </row>
    <row r="797" spans="1:2">
      <c r="A797" s="1" t="s">
        <v>1279</v>
      </c>
      <c r="B797" s="1">
        <v>38981</v>
      </c>
    </row>
    <row r="798" spans="1:2">
      <c r="A798" s="1" t="s">
        <v>1280</v>
      </c>
      <c r="B798" s="1">
        <v>40240</v>
      </c>
    </row>
    <row r="799" spans="1:2">
      <c r="A799" s="1" t="s">
        <v>1281</v>
      </c>
      <c r="B799" s="1">
        <v>41499</v>
      </c>
    </row>
    <row r="800" spans="1:2">
      <c r="A800" s="1" t="s">
        <v>1282</v>
      </c>
      <c r="B800" s="1">
        <v>42758</v>
      </c>
    </row>
    <row r="801" spans="1:2">
      <c r="A801" s="1" t="s">
        <v>1283</v>
      </c>
      <c r="B801" s="1">
        <v>44174</v>
      </c>
    </row>
    <row r="802" spans="1:2">
      <c r="A802" s="1" t="s">
        <v>1284</v>
      </c>
    </row>
    <row r="803" spans="1:2">
      <c r="A803" s="1" t="s">
        <v>1285</v>
      </c>
      <c r="B803" s="1">
        <v>13623</v>
      </c>
    </row>
    <row r="804" spans="1:2">
      <c r="A804" s="1" t="s">
        <v>1286</v>
      </c>
      <c r="B804" s="1">
        <v>15122</v>
      </c>
    </row>
    <row r="805" spans="1:2">
      <c r="A805" s="1" t="s">
        <v>1287</v>
      </c>
      <c r="B805" s="1">
        <v>16620</v>
      </c>
    </row>
    <row r="806" spans="1:2">
      <c r="A806" s="1" t="s">
        <v>1288</v>
      </c>
      <c r="B806" s="1">
        <v>18119</v>
      </c>
    </row>
    <row r="807" spans="1:2">
      <c r="A807" s="1" t="s">
        <v>1289</v>
      </c>
      <c r="B807" s="1">
        <v>19352</v>
      </c>
    </row>
    <row r="808" spans="1:2">
      <c r="A808" s="1" t="s">
        <v>1290</v>
      </c>
      <c r="B808" s="1">
        <v>20513</v>
      </c>
    </row>
    <row r="809" spans="1:2">
      <c r="A809" s="1" t="s">
        <v>1291</v>
      </c>
      <c r="B809" s="1">
        <v>21674</v>
      </c>
    </row>
    <row r="810" spans="1:2">
      <c r="A810" s="1" t="s">
        <v>1292</v>
      </c>
      <c r="B810" s="1">
        <v>22835</v>
      </c>
    </row>
    <row r="811" spans="1:2">
      <c r="A811" s="1" t="s">
        <v>1293</v>
      </c>
      <c r="B811" s="1">
        <v>23996</v>
      </c>
    </row>
    <row r="812" spans="1:2">
      <c r="A812" s="1" t="s">
        <v>1294</v>
      </c>
      <c r="B812" s="1">
        <v>25158</v>
      </c>
    </row>
    <row r="813" spans="1:2">
      <c r="A813" s="1" t="s">
        <v>1295</v>
      </c>
      <c r="B813" s="1">
        <v>26319</v>
      </c>
    </row>
    <row r="814" spans="1:2">
      <c r="A814" s="1" t="s">
        <v>1296</v>
      </c>
      <c r="B814" s="1">
        <v>27480</v>
      </c>
    </row>
    <row r="815" spans="1:2">
      <c r="A815" s="1" t="s">
        <v>1297</v>
      </c>
      <c r="B815" s="1">
        <v>28641</v>
      </c>
    </row>
    <row r="816" spans="1:2">
      <c r="A816" s="1" t="s">
        <v>1298</v>
      </c>
      <c r="B816" s="1">
        <v>29802</v>
      </c>
    </row>
    <row r="817" spans="1:2">
      <c r="A817" s="1" t="s">
        <v>1299</v>
      </c>
      <c r="B817" s="1">
        <v>30963</v>
      </c>
    </row>
    <row r="818" spans="1:2">
      <c r="A818" s="1" t="s">
        <v>1300</v>
      </c>
      <c r="B818" s="1">
        <v>32124</v>
      </c>
    </row>
    <row r="819" spans="1:2">
      <c r="A819" s="1" t="s">
        <v>1301</v>
      </c>
      <c r="B819" s="1">
        <v>33285</v>
      </c>
    </row>
    <row r="820" spans="1:2">
      <c r="A820" s="1" t="s">
        <v>1302</v>
      </c>
      <c r="B820" s="1">
        <v>34447</v>
      </c>
    </row>
    <row r="821" spans="1:2">
      <c r="A821" s="1" t="s">
        <v>1303</v>
      </c>
      <c r="B821" s="1">
        <v>35608</v>
      </c>
    </row>
    <row r="822" spans="1:2">
      <c r="A822" s="1" t="s">
        <v>1304</v>
      </c>
      <c r="B822" s="1">
        <v>36769</v>
      </c>
    </row>
    <row r="823" spans="1:2">
      <c r="A823" s="1" t="s">
        <v>1305</v>
      </c>
      <c r="B823" s="1">
        <v>15964</v>
      </c>
    </row>
    <row r="824" spans="1:2">
      <c r="A824" s="1" t="s">
        <v>1306</v>
      </c>
      <c r="B824" s="1">
        <v>17462</v>
      </c>
    </row>
    <row r="825" spans="1:2">
      <c r="A825" s="1" t="s">
        <v>1307</v>
      </c>
      <c r="B825" s="1">
        <v>18961</v>
      </c>
    </row>
    <row r="826" spans="1:2">
      <c r="A826" s="1" t="s">
        <v>1308</v>
      </c>
      <c r="B826" s="1">
        <v>20194</v>
      </c>
    </row>
    <row r="827" spans="1:2">
      <c r="A827" s="1" t="s">
        <v>1309</v>
      </c>
      <c r="B827" s="1">
        <v>21355</v>
      </c>
    </row>
    <row r="828" spans="1:2">
      <c r="A828" s="1" t="s">
        <v>1310</v>
      </c>
      <c r="B828" s="1">
        <v>22516</v>
      </c>
    </row>
    <row r="829" spans="1:2">
      <c r="A829" s="1" t="s">
        <v>1311</v>
      </c>
      <c r="B829" s="1">
        <v>23677</v>
      </c>
    </row>
    <row r="830" spans="1:2">
      <c r="A830" s="1" t="s">
        <v>1312</v>
      </c>
      <c r="B830" s="1">
        <v>24838</v>
      </c>
    </row>
    <row r="831" spans="1:2">
      <c r="A831" s="1" t="s">
        <v>1313</v>
      </c>
      <c r="B831" s="1">
        <v>25999</v>
      </c>
    </row>
    <row r="832" spans="1:2">
      <c r="A832" s="1" t="s">
        <v>1314</v>
      </c>
      <c r="B832" s="1">
        <v>27160</v>
      </c>
    </row>
    <row r="833" spans="1:2">
      <c r="A833" s="1" t="s">
        <v>1315</v>
      </c>
      <c r="B833" s="1">
        <v>28322</v>
      </c>
    </row>
    <row r="834" spans="1:2">
      <c r="A834" s="1" t="s">
        <v>1316</v>
      </c>
      <c r="B834" s="1">
        <v>29483</v>
      </c>
    </row>
    <row r="835" spans="1:2">
      <c r="A835" s="1" t="s">
        <v>1317</v>
      </c>
      <c r="B835" s="1">
        <v>30644</v>
      </c>
    </row>
    <row r="836" spans="1:2">
      <c r="A836" s="1" t="s">
        <v>1318</v>
      </c>
      <c r="B836" s="1">
        <v>31805</v>
      </c>
    </row>
    <row r="837" spans="1:2">
      <c r="A837" s="1" t="s">
        <v>1319</v>
      </c>
      <c r="B837" s="1">
        <v>32966</v>
      </c>
    </row>
    <row r="838" spans="1:2">
      <c r="A838" s="1" t="s">
        <v>1320</v>
      </c>
      <c r="B838" s="1">
        <v>34127</v>
      </c>
    </row>
    <row r="839" spans="1:2">
      <c r="A839" s="1" t="s">
        <v>1321</v>
      </c>
      <c r="B839" s="1">
        <v>35288</v>
      </c>
    </row>
    <row r="840" spans="1:2">
      <c r="A840" s="1" t="s">
        <v>1322</v>
      </c>
      <c r="B840" s="1">
        <v>36449</v>
      </c>
    </row>
    <row r="841" spans="1:2">
      <c r="A841" s="1" t="s">
        <v>1323</v>
      </c>
      <c r="B841" s="1">
        <v>37611</v>
      </c>
    </row>
    <row r="842" spans="1:2">
      <c r="A842" s="1" t="s">
        <v>1324</v>
      </c>
      <c r="B842" s="1">
        <v>18304</v>
      </c>
    </row>
    <row r="843" spans="1:2">
      <c r="A843" s="1" t="s">
        <v>1325</v>
      </c>
      <c r="B843" s="1">
        <v>19802</v>
      </c>
    </row>
    <row r="844" spans="1:2">
      <c r="A844" s="1" t="s">
        <v>1326</v>
      </c>
      <c r="B844" s="1">
        <v>21036</v>
      </c>
    </row>
    <row r="845" spans="1:2">
      <c r="A845" s="1" t="s">
        <v>1327</v>
      </c>
      <c r="B845" s="1">
        <v>22197</v>
      </c>
    </row>
    <row r="846" spans="1:2">
      <c r="A846" s="1" t="s">
        <v>1328</v>
      </c>
      <c r="B846" s="1">
        <v>23358</v>
      </c>
    </row>
    <row r="847" spans="1:2">
      <c r="A847" s="1" t="s">
        <v>1329</v>
      </c>
      <c r="B847" s="1">
        <v>24519</v>
      </c>
    </row>
    <row r="848" spans="1:2">
      <c r="A848" s="1" t="s">
        <v>1330</v>
      </c>
      <c r="B848" s="1">
        <v>25680</v>
      </c>
    </row>
    <row r="849" spans="1:2">
      <c r="A849" s="1" t="s">
        <v>1331</v>
      </c>
      <c r="B849" s="1">
        <v>26841</v>
      </c>
    </row>
    <row r="850" spans="1:2">
      <c r="A850" s="1" t="s">
        <v>1332</v>
      </c>
      <c r="B850" s="1">
        <v>28002</v>
      </c>
    </row>
    <row r="851" spans="1:2">
      <c r="A851" s="1" t="s">
        <v>1333</v>
      </c>
      <c r="B851" s="1">
        <v>29163</v>
      </c>
    </row>
    <row r="852" spans="1:2">
      <c r="A852" s="1" t="s">
        <v>1334</v>
      </c>
      <c r="B852" s="1">
        <v>30325</v>
      </c>
    </row>
    <row r="853" spans="1:2">
      <c r="A853" s="1" t="s">
        <v>1335</v>
      </c>
      <c r="B853" s="1">
        <v>31486</v>
      </c>
    </row>
    <row r="854" spans="1:2">
      <c r="A854" s="1" t="s">
        <v>1336</v>
      </c>
      <c r="B854" s="1">
        <v>32647</v>
      </c>
    </row>
    <row r="855" spans="1:2">
      <c r="A855" s="1" t="s">
        <v>1337</v>
      </c>
      <c r="B855" s="1">
        <v>33808</v>
      </c>
    </row>
    <row r="856" spans="1:2">
      <c r="A856" s="1" t="s">
        <v>1338</v>
      </c>
      <c r="B856" s="1">
        <v>34969</v>
      </c>
    </row>
    <row r="857" spans="1:2">
      <c r="A857" s="1" t="s">
        <v>1339</v>
      </c>
      <c r="B857" s="1">
        <v>36130</v>
      </c>
    </row>
    <row r="858" spans="1:2">
      <c r="A858" s="1" t="s">
        <v>1340</v>
      </c>
      <c r="B858" s="1">
        <v>37291</v>
      </c>
    </row>
    <row r="859" spans="1:2">
      <c r="A859" s="1" t="s">
        <v>1341</v>
      </c>
      <c r="B859" s="1">
        <v>38644</v>
      </c>
    </row>
    <row r="860" spans="1:2">
      <c r="A860" s="1" t="s">
        <v>1342</v>
      </c>
      <c r="B860" s="1">
        <v>20644</v>
      </c>
    </row>
    <row r="861" spans="1:2">
      <c r="A861" s="1" t="s">
        <v>1343</v>
      </c>
      <c r="B861" s="1">
        <v>21877</v>
      </c>
    </row>
    <row r="862" spans="1:2">
      <c r="A862" s="1" t="s">
        <v>1344</v>
      </c>
      <c r="B862" s="1">
        <v>23039</v>
      </c>
    </row>
    <row r="863" spans="1:2">
      <c r="A863" s="1" t="s">
        <v>1345</v>
      </c>
      <c r="B863" s="1">
        <v>24200</v>
      </c>
    </row>
    <row r="864" spans="1:2">
      <c r="A864" s="1" t="s">
        <v>1346</v>
      </c>
      <c r="B864" s="1">
        <v>25361</v>
      </c>
    </row>
    <row r="865" spans="1:2">
      <c r="A865" s="1" t="s">
        <v>1347</v>
      </c>
      <c r="B865" s="1">
        <v>26522</v>
      </c>
    </row>
    <row r="866" spans="1:2">
      <c r="A866" s="1" t="s">
        <v>1348</v>
      </c>
      <c r="B866" s="1">
        <v>27683</v>
      </c>
    </row>
    <row r="867" spans="1:2">
      <c r="A867" s="1" t="s">
        <v>1349</v>
      </c>
      <c r="B867" s="1">
        <v>28844</v>
      </c>
    </row>
    <row r="868" spans="1:2">
      <c r="A868" s="1" t="s">
        <v>1350</v>
      </c>
      <c r="B868" s="1">
        <v>30005</v>
      </c>
    </row>
    <row r="869" spans="1:2">
      <c r="A869" s="1" t="s">
        <v>1351</v>
      </c>
      <c r="B869" s="1">
        <v>31166</v>
      </c>
    </row>
    <row r="870" spans="1:2">
      <c r="A870" s="1" t="s">
        <v>1352</v>
      </c>
      <c r="B870" s="1">
        <v>32327</v>
      </c>
    </row>
    <row r="871" spans="1:2">
      <c r="A871" s="1" t="s">
        <v>1353</v>
      </c>
      <c r="B871" s="1">
        <v>33489</v>
      </c>
    </row>
    <row r="872" spans="1:2">
      <c r="A872" s="1" t="s">
        <v>1354</v>
      </c>
      <c r="B872" s="1">
        <v>34650</v>
      </c>
    </row>
    <row r="873" spans="1:2">
      <c r="A873" s="1" t="s">
        <v>1355</v>
      </c>
      <c r="B873" s="1">
        <v>35811</v>
      </c>
    </row>
    <row r="874" spans="1:2">
      <c r="A874" s="1" t="s">
        <v>1356</v>
      </c>
      <c r="B874" s="1">
        <v>36972</v>
      </c>
    </row>
    <row r="875" spans="1:2">
      <c r="A875" s="1" t="s">
        <v>1357</v>
      </c>
      <c r="B875" s="1">
        <v>38433</v>
      </c>
    </row>
    <row r="876" spans="1:2">
      <c r="A876" s="1" t="s">
        <v>1358</v>
      </c>
      <c r="B876" s="1">
        <v>39486</v>
      </c>
    </row>
    <row r="877" spans="1:2">
      <c r="A877" s="1" t="s">
        <v>1359</v>
      </c>
      <c r="B877" s="1">
        <v>22719</v>
      </c>
    </row>
    <row r="878" spans="1:2">
      <c r="A878" s="1" t="s">
        <v>1360</v>
      </c>
      <c r="B878" s="1">
        <v>23880</v>
      </c>
    </row>
    <row r="879" spans="1:2">
      <c r="A879" s="1" t="s">
        <v>1361</v>
      </c>
      <c r="B879" s="1">
        <v>25041</v>
      </c>
    </row>
    <row r="880" spans="1:2">
      <c r="A880" s="1" t="s">
        <v>1362</v>
      </c>
      <c r="B880" s="1">
        <v>26203</v>
      </c>
    </row>
    <row r="881" spans="1:2">
      <c r="A881" s="1" t="s">
        <v>1363</v>
      </c>
      <c r="B881" s="1">
        <v>27364</v>
      </c>
    </row>
    <row r="882" spans="1:2">
      <c r="A882" s="1" t="s">
        <v>1364</v>
      </c>
      <c r="B882" s="1">
        <v>28525</v>
      </c>
    </row>
    <row r="883" spans="1:2">
      <c r="A883" s="1" t="s">
        <v>1365</v>
      </c>
      <c r="B883" s="1">
        <v>29686</v>
      </c>
    </row>
    <row r="884" spans="1:2">
      <c r="A884" s="1" t="s">
        <v>1366</v>
      </c>
      <c r="B884" s="1">
        <v>30847</v>
      </c>
    </row>
    <row r="885" spans="1:2">
      <c r="A885" s="1" t="s">
        <v>1367</v>
      </c>
      <c r="B885" s="1">
        <v>32008</v>
      </c>
    </row>
    <row r="886" spans="1:2">
      <c r="A886" s="1" t="s">
        <v>1368</v>
      </c>
      <c r="B886" s="1">
        <v>33169</v>
      </c>
    </row>
    <row r="887" spans="1:2">
      <c r="A887" s="1" t="s">
        <v>1369</v>
      </c>
      <c r="B887" s="1">
        <v>34330</v>
      </c>
    </row>
    <row r="888" spans="1:2">
      <c r="A888" s="1" t="s">
        <v>1370</v>
      </c>
      <c r="B888" s="1">
        <v>35492</v>
      </c>
    </row>
    <row r="889" spans="1:2">
      <c r="A889" s="1" t="s">
        <v>1371</v>
      </c>
      <c r="B889" s="1">
        <v>36653</v>
      </c>
    </row>
    <row r="890" spans="1:2">
      <c r="A890" s="1" t="s">
        <v>1372</v>
      </c>
      <c r="B890" s="1">
        <v>37814</v>
      </c>
    </row>
    <row r="891" spans="1:2">
      <c r="A891" s="1" t="s">
        <v>1373</v>
      </c>
      <c r="B891" s="1">
        <v>38975</v>
      </c>
    </row>
    <row r="892" spans="1:2">
      <c r="A892" s="1" t="s">
        <v>1374</v>
      </c>
      <c r="B892" s="1">
        <v>40328</v>
      </c>
    </row>
    <row r="893" spans="1:2">
      <c r="A893" s="1" t="s">
        <v>1375</v>
      </c>
      <c r="B893" s="1">
        <v>24722</v>
      </c>
    </row>
    <row r="894" spans="1:2">
      <c r="A894" s="1" t="s">
        <v>1376</v>
      </c>
      <c r="B894" s="1">
        <v>25883</v>
      </c>
    </row>
    <row r="895" spans="1:2">
      <c r="A895" s="1" t="s">
        <v>1377</v>
      </c>
      <c r="B895" s="1">
        <v>27044</v>
      </c>
    </row>
    <row r="896" spans="1:2">
      <c r="A896" s="1" t="s">
        <v>1378</v>
      </c>
      <c r="B896" s="1">
        <v>28206</v>
      </c>
    </row>
    <row r="897" spans="1:2">
      <c r="A897" s="1" t="s">
        <v>1379</v>
      </c>
      <c r="B897" s="1">
        <v>29367</v>
      </c>
    </row>
    <row r="898" spans="1:2">
      <c r="A898" s="1" t="s">
        <v>1380</v>
      </c>
      <c r="B898" s="1">
        <v>30528</v>
      </c>
    </row>
    <row r="899" spans="1:2">
      <c r="A899" s="1" t="s">
        <v>1381</v>
      </c>
      <c r="B899" s="1">
        <v>31689</v>
      </c>
    </row>
    <row r="900" spans="1:2">
      <c r="A900" s="1" t="s">
        <v>1382</v>
      </c>
      <c r="B900" s="1">
        <v>32850</v>
      </c>
    </row>
    <row r="901" spans="1:2">
      <c r="A901" s="1" t="s">
        <v>1383</v>
      </c>
      <c r="B901" s="1">
        <v>34011</v>
      </c>
    </row>
    <row r="902" spans="1:2">
      <c r="A902" s="1" t="s">
        <v>1384</v>
      </c>
      <c r="B902" s="1">
        <v>35172</v>
      </c>
    </row>
    <row r="903" spans="1:2">
      <c r="A903" s="1" t="s">
        <v>1385</v>
      </c>
      <c r="B903" s="1">
        <v>36333</v>
      </c>
    </row>
    <row r="904" spans="1:2">
      <c r="A904" s="1" t="s">
        <v>1386</v>
      </c>
      <c r="B904" s="1">
        <v>37494</v>
      </c>
    </row>
    <row r="905" spans="1:2">
      <c r="A905" s="1" t="s">
        <v>1387</v>
      </c>
      <c r="B905" s="1">
        <v>38656</v>
      </c>
    </row>
    <row r="906" spans="1:2">
      <c r="A906" s="1" t="s">
        <v>1388</v>
      </c>
      <c r="B906" s="1">
        <v>39817</v>
      </c>
    </row>
    <row r="907" spans="1:2">
      <c r="A907" s="1" t="s">
        <v>1389</v>
      </c>
      <c r="B907" s="1">
        <v>41170</v>
      </c>
    </row>
    <row r="908" spans="1:2">
      <c r="A908" s="1" t="s">
        <v>1390</v>
      </c>
      <c r="B908" s="1">
        <v>26725</v>
      </c>
    </row>
    <row r="909" spans="1:2">
      <c r="A909" s="1" t="s">
        <v>1391</v>
      </c>
      <c r="B909" s="1">
        <v>27886</v>
      </c>
    </row>
    <row r="910" spans="1:2">
      <c r="A910" s="1" t="s">
        <v>1392</v>
      </c>
      <c r="B910" s="1">
        <v>29047</v>
      </c>
    </row>
    <row r="911" spans="1:2">
      <c r="A911" s="1" t="s">
        <v>1393</v>
      </c>
      <c r="B911" s="1">
        <v>30208</v>
      </c>
    </row>
    <row r="912" spans="1:2">
      <c r="A912" s="1" t="s">
        <v>1394</v>
      </c>
      <c r="B912" s="1">
        <v>31370</v>
      </c>
    </row>
    <row r="913" spans="1:6">
      <c r="A913" s="1" t="s">
        <v>1395</v>
      </c>
      <c r="B913" s="1">
        <v>32531</v>
      </c>
    </row>
    <row r="914" spans="1:6">
      <c r="A914" s="1" t="s">
        <v>1396</v>
      </c>
      <c r="B914" s="1">
        <v>33692</v>
      </c>
    </row>
    <row r="915" spans="1:6">
      <c r="A915" s="1" t="s">
        <v>1397</v>
      </c>
      <c r="B915" s="1">
        <v>34853</v>
      </c>
    </row>
    <row r="916" spans="1:6">
      <c r="A916" s="1" t="s">
        <v>1398</v>
      </c>
      <c r="B916" s="1">
        <v>36014</v>
      </c>
    </row>
    <row r="917" spans="1:6">
      <c r="A917" s="1" t="s">
        <v>1399</v>
      </c>
      <c r="B917" s="1">
        <v>37175</v>
      </c>
    </row>
    <row r="918" spans="1:6">
      <c r="A918" s="1" t="s">
        <v>1400</v>
      </c>
      <c r="B918" s="1">
        <v>38336</v>
      </c>
    </row>
    <row r="919" spans="1:6">
      <c r="A919" s="1" t="s">
        <v>1401</v>
      </c>
      <c r="B919" s="1">
        <v>39497</v>
      </c>
    </row>
    <row r="920" spans="1:6">
      <c r="A920" s="1" t="s">
        <v>1402</v>
      </c>
      <c r="B920" s="1">
        <v>40658</v>
      </c>
    </row>
    <row r="921" spans="1:6">
      <c r="A921" s="1" t="s">
        <v>1403</v>
      </c>
      <c r="B921" s="1">
        <v>42012</v>
      </c>
    </row>
    <row r="922" spans="1:6">
      <c r="F922"/>
    </row>
    <row r="923" spans="1:6">
      <c r="F923"/>
    </row>
    <row r="924" spans="1:6">
      <c r="F924"/>
    </row>
    <row r="925" spans="1:6">
      <c r="F925"/>
    </row>
    <row r="926" spans="1:6">
      <c r="F926"/>
    </row>
    <row r="927" spans="1:6">
      <c r="F927"/>
    </row>
    <row r="928" spans="1:6">
      <c r="F928"/>
    </row>
    <row r="929" spans="6:6">
      <c r="F929"/>
    </row>
    <row r="930" spans="6:6">
      <c r="F930"/>
    </row>
    <row r="931" spans="6:6">
      <c r="F931"/>
    </row>
    <row r="932" spans="6:6">
      <c r="F932"/>
    </row>
    <row r="933" spans="6:6">
      <c r="F933"/>
    </row>
    <row r="934" spans="6:6">
      <c r="F934"/>
    </row>
    <row r="935" spans="6:6">
      <c r="F935"/>
    </row>
    <row r="936" spans="6:6">
      <c r="F936"/>
    </row>
    <row r="937" spans="6:6">
      <c r="F937"/>
    </row>
    <row r="938" spans="6:6">
      <c r="F938"/>
    </row>
    <row r="939" spans="6:6">
      <c r="F939"/>
    </row>
    <row r="940" spans="6:6">
      <c r="F940"/>
    </row>
    <row r="941" spans="6:6">
      <c r="F941"/>
    </row>
    <row r="942" spans="6:6">
      <c r="F942"/>
    </row>
    <row r="943" spans="6:6">
      <c r="F943"/>
    </row>
    <row r="944" spans="6:6">
      <c r="F944"/>
    </row>
    <row r="945" spans="6:6">
      <c r="F945"/>
    </row>
    <row r="946" spans="6:6">
      <c r="F946"/>
    </row>
    <row r="947" spans="6:6">
      <c r="F947"/>
    </row>
    <row r="948" spans="6:6">
      <c r="F948"/>
    </row>
    <row r="949" spans="6:6">
      <c r="F949"/>
    </row>
    <row r="950" spans="6:6">
      <c r="F950"/>
    </row>
    <row r="951" spans="6:6">
      <c r="F951"/>
    </row>
    <row r="952" spans="6:6">
      <c r="F952"/>
    </row>
    <row r="953" spans="6:6">
      <c r="F953"/>
    </row>
    <row r="954" spans="6:6">
      <c r="F954"/>
    </row>
    <row r="955" spans="6:6">
      <c r="F955"/>
    </row>
    <row r="956" spans="6:6">
      <c r="F956"/>
    </row>
    <row r="957" spans="6:6">
      <c r="F957"/>
    </row>
  </sheetData>
  <sheetProtection algorithmName="SHA-512" hashValue="ls1xTovXCZCwKi6Hnn+79t+U2SMzhar2nJ3umin0a5q9W08ngEMH1wx6dh7hVcJ5ERKhaEA2Ndh92GzuvgpGog==" saltValue="YiE3PWoITn8HzszXOoZaUw==" spinCount="100000" sheet="1" objects="1" scenarios="1" selectLockedCells="1"/>
  <phoneticPr fontId="0" type="noConversion"/>
  <printOptions gridLines="1" gridLinesSet="0"/>
  <pageMargins left="0.75" right="0.75" top="1" bottom="1" header="0.5" footer="0.5"/>
  <pageSetup paperSize="9" orientation="portrait" horizontalDpi="0" verticalDpi="0" r:id="rId1"/>
  <headerFooter alignWithMargins="0">
    <oddHeader>&amp;A</oddHeader>
    <oddFooter>Sida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8">
    <tabColor theme="0" tint="-0.34998626667073579"/>
  </sheetPr>
  <dimension ref="A1:B1211"/>
  <sheetViews>
    <sheetView workbookViewId="0" xr3:uid="{FF0BDA26-1AD6-5648-BD9A-E01AA4DDCA7C}"/>
  </sheetViews>
  <sheetFormatPr defaultRowHeight="12.75"/>
  <sheetData>
    <row r="1" spans="1:2">
      <c r="A1" t="s">
        <v>1404</v>
      </c>
      <c r="B1" t="s">
        <v>1405</v>
      </c>
    </row>
    <row r="2" spans="1:2">
      <c r="A2" t="s">
        <v>290</v>
      </c>
      <c r="B2">
        <v>0.2</v>
      </c>
    </row>
    <row r="3" spans="1:2">
      <c r="A3" t="s">
        <v>1406</v>
      </c>
      <c r="B3">
        <v>0.25</v>
      </c>
    </row>
    <row r="4" spans="1:2">
      <c r="A4" t="s">
        <v>1407</v>
      </c>
      <c r="B4">
        <v>0.3</v>
      </c>
    </row>
    <row r="5" spans="1:2">
      <c r="A5" t="s">
        <v>1408</v>
      </c>
      <c r="B5">
        <v>1</v>
      </c>
    </row>
    <row r="6" spans="1:2">
      <c r="A6" t="s">
        <v>1409</v>
      </c>
      <c r="B6">
        <v>1</v>
      </c>
    </row>
    <row r="7" spans="1:2">
      <c r="A7" t="s">
        <v>1410</v>
      </c>
      <c r="B7">
        <v>1</v>
      </c>
    </row>
    <row r="8" spans="1:2">
      <c r="A8" t="s">
        <v>1411</v>
      </c>
      <c r="B8">
        <v>1</v>
      </c>
    </row>
    <row r="9" spans="1:2">
      <c r="A9" t="s">
        <v>1412</v>
      </c>
      <c r="B9">
        <v>1</v>
      </c>
    </row>
    <row r="10" spans="1:2">
      <c r="A10" t="s">
        <v>1413</v>
      </c>
      <c r="B10">
        <v>1</v>
      </c>
    </row>
    <row r="11" spans="1:2">
      <c r="A11" t="s">
        <v>1414</v>
      </c>
      <c r="B11">
        <v>1</v>
      </c>
    </row>
    <row r="12" spans="1:2">
      <c r="A12" t="s">
        <v>1415</v>
      </c>
      <c r="B12">
        <v>1</v>
      </c>
    </row>
    <row r="13" spans="1:2">
      <c r="A13" t="s">
        <v>1416</v>
      </c>
      <c r="B13">
        <v>1</v>
      </c>
    </row>
    <row r="14" spans="1:2">
      <c r="A14" t="s">
        <v>1417</v>
      </c>
      <c r="B14">
        <v>1</v>
      </c>
    </row>
    <row r="15" spans="1:2">
      <c r="A15" t="s">
        <v>1418</v>
      </c>
      <c r="B15">
        <v>1</v>
      </c>
    </row>
    <row r="16" spans="1:2">
      <c r="A16" t="s">
        <v>1419</v>
      </c>
      <c r="B16">
        <v>1</v>
      </c>
    </row>
    <row r="17" spans="1:2">
      <c r="A17" t="s">
        <v>1420</v>
      </c>
      <c r="B17">
        <v>1</v>
      </c>
    </row>
    <row r="18" spans="1:2">
      <c r="A18" t="s">
        <v>1421</v>
      </c>
      <c r="B18">
        <v>1</v>
      </c>
    </row>
    <row r="19" spans="1:2">
      <c r="A19" t="s">
        <v>1422</v>
      </c>
      <c r="B19">
        <v>1</v>
      </c>
    </row>
    <row r="20" spans="1:2">
      <c r="A20" t="s">
        <v>1423</v>
      </c>
      <c r="B20">
        <v>1</v>
      </c>
    </row>
    <row r="21" spans="1:2">
      <c r="A21" t="s">
        <v>1424</v>
      </c>
      <c r="B21">
        <v>1</v>
      </c>
    </row>
    <row r="22" spans="1:2">
      <c r="A22" t="s">
        <v>1425</v>
      </c>
      <c r="B22">
        <v>1</v>
      </c>
    </row>
    <row r="23" spans="1:2">
      <c r="A23" t="s">
        <v>1426</v>
      </c>
      <c r="B23">
        <v>1</v>
      </c>
    </row>
    <row r="24" spans="1:2">
      <c r="A24" t="s">
        <v>1427</v>
      </c>
      <c r="B24">
        <v>1</v>
      </c>
    </row>
    <row r="25" spans="1:2">
      <c r="A25" t="s">
        <v>1428</v>
      </c>
      <c r="B25">
        <v>1</v>
      </c>
    </row>
    <row r="26" spans="1:2">
      <c r="A26" t="s">
        <v>1429</v>
      </c>
      <c r="B26">
        <v>1</v>
      </c>
    </row>
    <row r="27" spans="1:2">
      <c r="A27" t="s">
        <v>1430</v>
      </c>
      <c r="B27">
        <v>1</v>
      </c>
    </row>
    <row r="28" spans="1:2">
      <c r="A28" t="s">
        <v>1431</v>
      </c>
      <c r="B28">
        <v>1</v>
      </c>
    </row>
    <row r="29" spans="1:2">
      <c r="A29" t="s">
        <v>1432</v>
      </c>
      <c r="B29">
        <v>1</v>
      </c>
    </row>
    <row r="30" spans="1:2">
      <c r="A30" t="s">
        <v>1433</v>
      </c>
      <c r="B30">
        <v>1</v>
      </c>
    </row>
    <row r="31" spans="1:2">
      <c r="A31" t="s">
        <v>1434</v>
      </c>
      <c r="B31">
        <v>1</v>
      </c>
    </row>
    <row r="32" spans="1:2">
      <c r="A32" t="s">
        <v>1435</v>
      </c>
      <c r="B32">
        <v>1</v>
      </c>
    </row>
    <row r="33" spans="1:2">
      <c r="A33" t="s">
        <v>1436</v>
      </c>
      <c r="B33">
        <v>1</v>
      </c>
    </row>
    <row r="34" spans="1:2">
      <c r="A34" t="s">
        <v>1437</v>
      </c>
      <c r="B34">
        <v>1</v>
      </c>
    </row>
    <row r="35" spans="1:2">
      <c r="A35" t="s">
        <v>1438</v>
      </c>
      <c r="B35">
        <v>1</v>
      </c>
    </row>
    <row r="36" spans="1:2">
      <c r="A36" t="s">
        <v>1439</v>
      </c>
      <c r="B36">
        <v>1</v>
      </c>
    </row>
    <row r="37" spans="1:2">
      <c r="A37" t="s">
        <v>1440</v>
      </c>
      <c r="B37">
        <v>1</v>
      </c>
    </row>
    <row r="38" spans="1:2">
      <c r="A38" t="s">
        <v>1441</v>
      </c>
      <c r="B38">
        <v>1</v>
      </c>
    </row>
    <row r="39" spans="1:2">
      <c r="A39" t="s">
        <v>1442</v>
      </c>
      <c r="B39">
        <v>1</v>
      </c>
    </row>
    <row r="40" spans="1:2">
      <c r="A40" t="s">
        <v>1443</v>
      </c>
      <c r="B40">
        <v>1</v>
      </c>
    </row>
    <row r="41" spans="1:2">
      <c r="A41" t="s">
        <v>1444</v>
      </c>
      <c r="B41">
        <v>1</v>
      </c>
    </row>
    <row r="42" spans="1:2">
      <c r="A42" t="s">
        <v>1445</v>
      </c>
      <c r="B42">
        <v>1</v>
      </c>
    </row>
    <row r="43" spans="1:2">
      <c r="A43" t="s">
        <v>1446</v>
      </c>
      <c r="B43">
        <v>1</v>
      </c>
    </row>
    <row r="44" spans="1:2">
      <c r="A44" t="s">
        <v>1447</v>
      </c>
      <c r="B44">
        <v>1</v>
      </c>
    </row>
    <row r="45" spans="1:2">
      <c r="A45" t="s">
        <v>1448</v>
      </c>
      <c r="B45">
        <v>1</v>
      </c>
    </row>
    <row r="46" spans="1:2">
      <c r="A46" t="s">
        <v>1449</v>
      </c>
      <c r="B46">
        <v>1</v>
      </c>
    </row>
    <row r="47" spans="1:2">
      <c r="A47" t="s">
        <v>1450</v>
      </c>
      <c r="B47">
        <v>1</v>
      </c>
    </row>
    <row r="48" spans="1:2">
      <c r="A48" t="s">
        <v>1451</v>
      </c>
      <c r="B48">
        <v>1</v>
      </c>
    </row>
    <row r="49" spans="1:2">
      <c r="A49" t="s">
        <v>1452</v>
      </c>
      <c r="B49">
        <v>1</v>
      </c>
    </row>
    <row r="50" spans="1:2">
      <c r="A50" t="s">
        <v>1453</v>
      </c>
      <c r="B50">
        <v>1</v>
      </c>
    </row>
    <row r="51" spans="1:2">
      <c r="A51" t="s">
        <v>1454</v>
      </c>
      <c r="B51">
        <v>1</v>
      </c>
    </row>
    <row r="52" spans="1:2">
      <c r="A52" t="s">
        <v>1455</v>
      </c>
      <c r="B52">
        <v>1</v>
      </c>
    </row>
    <row r="53" spans="1:2">
      <c r="A53" t="s">
        <v>1456</v>
      </c>
      <c r="B53">
        <v>1</v>
      </c>
    </row>
    <row r="54" spans="1:2">
      <c r="A54" t="s">
        <v>1457</v>
      </c>
      <c r="B54">
        <v>1</v>
      </c>
    </row>
    <row r="55" spans="1:2">
      <c r="A55" t="s">
        <v>1458</v>
      </c>
      <c r="B55">
        <v>1</v>
      </c>
    </row>
    <row r="56" spans="1:2">
      <c r="A56" t="s">
        <v>1459</v>
      </c>
      <c r="B56">
        <v>1</v>
      </c>
    </row>
    <row r="57" spans="1:2">
      <c r="A57" t="s">
        <v>1460</v>
      </c>
      <c r="B57">
        <v>1</v>
      </c>
    </row>
    <row r="58" spans="1:2">
      <c r="A58" t="s">
        <v>1461</v>
      </c>
      <c r="B58">
        <v>1</v>
      </c>
    </row>
    <row r="59" spans="1:2">
      <c r="A59" t="s">
        <v>1462</v>
      </c>
      <c r="B59">
        <v>1</v>
      </c>
    </row>
    <row r="60" spans="1:2">
      <c r="A60" t="s">
        <v>1463</v>
      </c>
      <c r="B60">
        <v>1</v>
      </c>
    </row>
    <row r="61" spans="1:2">
      <c r="A61" t="s">
        <v>1464</v>
      </c>
      <c r="B61">
        <v>1</v>
      </c>
    </row>
    <row r="62" spans="1:2">
      <c r="A62" t="s">
        <v>1465</v>
      </c>
      <c r="B62">
        <v>1</v>
      </c>
    </row>
    <row r="63" spans="1:2">
      <c r="A63" t="s">
        <v>1466</v>
      </c>
      <c r="B63">
        <v>1</v>
      </c>
    </row>
    <row r="64" spans="1:2">
      <c r="A64" t="s">
        <v>1467</v>
      </c>
      <c r="B64">
        <v>1</v>
      </c>
    </row>
    <row r="65" spans="1:2">
      <c r="A65" t="s">
        <v>1468</v>
      </c>
      <c r="B65">
        <v>1</v>
      </c>
    </row>
    <row r="66" spans="1:2">
      <c r="A66" t="s">
        <v>1469</v>
      </c>
      <c r="B66">
        <v>1</v>
      </c>
    </row>
    <row r="67" spans="1:2">
      <c r="A67" t="s">
        <v>1470</v>
      </c>
      <c r="B67">
        <v>1</v>
      </c>
    </row>
    <row r="68" spans="1:2">
      <c r="A68" t="s">
        <v>1471</v>
      </c>
      <c r="B68">
        <v>1</v>
      </c>
    </row>
    <row r="69" spans="1:2">
      <c r="A69" t="s">
        <v>1472</v>
      </c>
      <c r="B69">
        <v>1</v>
      </c>
    </row>
    <row r="70" spans="1:2">
      <c r="A70" t="s">
        <v>1473</v>
      </c>
      <c r="B70">
        <v>1</v>
      </c>
    </row>
    <row r="71" spans="1:2">
      <c r="A71" t="s">
        <v>1474</v>
      </c>
      <c r="B71">
        <v>1</v>
      </c>
    </row>
    <row r="72" spans="1:2">
      <c r="A72" t="s">
        <v>1475</v>
      </c>
      <c r="B72">
        <v>1</v>
      </c>
    </row>
    <row r="73" spans="1:2">
      <c r="A73" t="s">
        <v>1476</v>
      </c>
      <c r="B73">
        <v>1</v>
      </c>
    </row>
    <row r="74" spans="1:2">
      <c r="A74" t="s">
        <v>1477</v>
      </c>
      <c r="B74">
        <v>1</v>
      </c>
    </row>
    <row r="75" spans="1:2">
      <c r="A75" t="s">
        <v>1478</v>
      </c>
      <c r="B75">
        <v>1</v>
      </c>
    </row>
    <row r="76" spans="1:2">
      <c r="A76" t="s">
        <v>1479</v>
      </c>
      <c r="B76">
        <v>1</v>
      </c>
    </row>
    <row r="77" spans="1:2">
      <c r="A77" t="s">
        <v>1480</v>
      </c>
      <c r="B77">
        <v>1</v>
      </c>
    </row>
    <row r="78" spans="1:2">
      <c r="A78" t="s">
        <v>1481</v>
      </c>
      <c r="B78">
        <v>1</v>
      </c>
    </row>
    <row r="79" spans="1:2">
      <c r="A79" t="s">
        <v>1482</v>
      </c>
      <c r="B79">
        <v>1</v>
      </c>
    </row>
    <row r="80" spans="1:2">
      <c r="A80" t="s">
        <v>1483</v>
      </c>
      <c r="B80">
        <v>1</v>
      </c>
    </row>
    <row r="81" spans="1:2">
      <c r="A81" t="s">
        <v>1484</v>
      </c>
      <c r="B81">
        <v>1</v>
      </c>
    </row>
    <row r="82" spans="1:2">
      <c r="A82" t="s">
        <v>1485</v>
      </c>
      <c r="B82">
        <v>1</v>
      </c>
    </row>
    <row r="83" spans="1:2">
      <c r="A83" t="s">
        <v>1486</v>
      </c>
      <c r="B83">
        <v>1</v>
      </c>
    </row>
    <row r="84" spans="1:2">
      <c r="A84" t="s">
        <v>1487</v>
      </c>
      <c r="B84">
        <v>1</v>
      </c>
    </row>
    <row r="85" spans="1:2">
      <c r="A85" t="s">
        <v>1488</v>
      </c>
      <c r="B85">
        <v>1</v>
      </c>
    </row>
    <row r="86" spans="1:2">
      <c r="A86" t="s">
        <v>1489</v>
      </c>
      <c r="B86">
        <v>1</v>
      </c>
    </row>
    <row r="87" spans="1:2">
      <c r="A87" t="s">
        <v>1490</v>
      </c>
      <c r="B87">
        <v>1</v>
      </c>
    </row>
    <row r="88" spans="1:2">
      <c r="A88" t="s">
        <v>1491</v>
      </c>
      <c r="B88">
        <v>1</v>
      </c>
    </row>
    <row r="89" spans="1:2">
      <c r="A89" t="s">
        <v>1492</v>
      </c>
      <c r="B89">
        <v>1</v>
      </c>
    </row>
    <row r="90" spans="1:2">
      <c r="A90" t="s">
        <v>1493</v>
      </c>
      <c r="B90">
        <v>1</v>
      </c>
    </row>
    <row r="91" spans="1:2">
      <c r="A91" t="s">
        <v>1494</v>
      </c>
      <c r="B91">
        <v>1</v>
      </c>
    </row>
    <row r="92" spans="1:2">
      <c r="A92" t="s">
        <v>1495</v>
      </c>
      <c r="B92">
        <v>1</v>
      </c>
    </row>
    <row r="93" spans="1:2">
      <c r="A93" t="s">
        <v>1496</v>
      </c>
      <c r="B93">
        <v>1</v>
      </c>
    </row>
    <row r="94" spans="1:2">
      <c r="A94" t="s">
        <v>1497</v>
      </c>
      <c r="B94">
        <v>1</v>
      </c>
    </row>
    <row r="95" spans="1:2">
      <c r="A95" t="s">
        <v>1498</v>
      </c>
      <c r="B95">
        <v>1</v>
      </c>
    </row>
    <row r="96" spans="1:2">
      <c r="A96" t="s">
        <v>1499</v>
      </c>
      <c r="B96">
        <v>1</v>
      </c>
    </row>
    <row r="97" spans="1:2">
      <c r="A97" t="s">
        <v>1500</v>
      </c>
      <c r="B97">
        <v>1</v>
      </c>
    </row>
    <row r="98" spans="1:2">
      <c r="A98" t="s">
        <v>1501</v>
      </c>
      <c r="B98">
        <v>1</v>
      </c>
    </row>
    <row r="99" spans="1:2">
      <c r="A99" t="s">
        <v>1502</v>
      </c>
      <c r="B99">
        <v>1</v>
      </c>
    </row>
    <row r="100" spans="1:2">
      <c r="A100" t="s">
        <v>1503</v>
      </c>
      <c r="B100">
        <v>1</v>
      </c>
    </row>
    <row r="101" spans="1:2">
      <c r="A101" t="s">
        <v>1504</v>
      </c>
      <c r="B101">
        <v>1</v>
      </c>
    </row>
    <row r="102" spans="1:2">
      <c r="A102" t="s">
        <v>1505</v>
      </c>
      <c r="B102">
        <v>1</v>
      </c>
    </row>
    <row r="103" spans="1:2">
      <c r="A103" t="s">
        <v>1506</v>
      </c>
      <c r="B103">
        <v>1</v>
      </c>
    </row>
    <row r="104" spans="1:2">
      <c r="A104" t="s">
        <v>1507</v>
      </c>
      <c r="B104">
        <v>1</v>
      </c>
    </row>
    <row r="105" spans="1:2">
      <c r="A105" t="s">
        <v>1508</v>
      </c>
      <c r="B105">
        <v>1</v>
      </c>
    </row>
    <row r="106" spans="1:2">
      <c r="A106" t="s">
        <v>1509</v>
      </c>
      <c r="B106">
        <v>1</v>
      </c>
    </row>
    <row r="107" spans="1:2">
      <c r="A107" t="s">
        <v>1510</v>
      </c>
      <c r="B107">
        <v>1</v>
      </c>
    </row>
    <row r="108" spans="1:2">
      <c r="A108" t="s">
        <v>1511</v>
      </c>
      <c r="B108">
        <v>1</v>
      </c>
    </row>
    <row r="109" spans="1:2">
      <c r="A109" t="s">
        <v>1512</v>
      </c>
      <c r="B109">
        <v>1</v>
      </c>
    </row>
    <row r="110" spans="1:2">
      <c r="A110" t="s">
        <v>1513</v>
      </c>
      <c r="B110">
        <v>1</v>
      </c>
    </row>
    <row r="111" spans="1:2">
      <c r="A111" t="s">
        <v>1514</v>
      </c>
      <c r="B111">
        <v>1</v>
      </c>
    </row>
    <row r="112" spans="1:2">
      <c r="A112" t="s">
        <v>1515</v>
      </c>
      <c r="B112">
        <v>1</v>
      </c>
    </row>
    <row r="113" spans="1:2">
      <c r="A113" t="s">
        <v>1516</v>
      </c>
      <c r="B113">
        <v>1</v>
      </c>
    </row>
    <row r="114" spans="1:2">
      <c r="A114" t="s">
        <v>1517</v>
      </c>
      <c r="B114">
        <v>1</v>
      </c>
    </row>
    <row r="115" spans="1:2">
      <c r="A115" t="s">
        <v>1518</v>
      </c>
      <c r="B115">
        <v>1</v>
      </c>
    </row>
    <row r="116" spans="1:2">
      <c r="A116" t="s">
        <v>1519</v>
      </c>
      <c r="B116">
        <v>1</v>
      </c>
    </row>
    <row r="117" spans="1:2">
      <c r="A117" t="s">
        <v>1520</v>
      </c>
      <c r="B117">
        <v>1</v>
      </c>
    </row>
    <row r="118" spans="1:2">
      <c r="A118" t="s">
        <v>1521</v>
      </c>
      <c r="B118">
        <v>1</v>
      </c>
    </row>
    <row r="119" spans="1:2">
      <c r="A119" t="s">
        <v>1522</v>
      </c>
      <c r="B119">
        <v>1</v>
      </c>
    </row>
    <row r="120" spans="1:2">
      <c r="A120" t="s">
        <v>1523</v>
      </c>
      <c r="B120">
        <v>1</v>
      </c>
    </row>
    <row r="121" spans="1:2">
      <c r="A121" t="s">
        <v>1524</v>
      </c>
      <c r="B121">
        <v>1</v>
      </c>
    </row>
    <row r="122" spans="1:2">
      <c r="A122" t="s">
        <v>1525</v>
      </c>
      <c r="B122">
        <v>1</v>
      </c>
    </row>
    <row r="123" spans="1:2">
      <c r="A123" t="s">
        <v>1526</v>
      </c>
      <c r="B123">
        <v>1</v>
      </c>
    </row>
    <row r="124" spans="1:2">
      <c r="A124" t="s">
        <v>1527</v>
      </c>
      <c r="B124">
        <v>1</v>
      </c>
    </row>
    <row r="125" spans="1:2">
      <c r="A125" t="s">
        <v>1528</v>
      </c>
      <c r="B125">
        <v>1</v>
      </c>
    </row>
    <row r="126" spans="1:2">
      <c r="A126" t="s">
        <v>1529</v>
      </c>
      <c r="B126">
        <v>1</v>
      </c>
    </row>
    <row r="127" spans="1:2">
      <c r="A127" t="s">
        <v>1530</v>
      </c>
      <c r="B127">
        <v>1</v>
      </c>
    </row>
    <row r="128" spans="1:2">
      <c r="A128" t="s">
        <v>1531</v>
      </c>
      <c r="B128">
        <v>1</v>
      </c>
    </row>
    <row r="129" spans="1:2">
      <c r="A129" t="s">
        <v>1532</v>
      </c>
      <c r="B129">
        <v>1</v>
      </c>
    </row>
    <row r="130" spans="1:2">
      <c r="A130" t="s">
        <v>1533</v>
      </c>
      <c r="B130">
        <v>1</v>
      </c>
    </row>
    <row r="131" spans="1:2">
      <c r="A131" t="s">
        <v>1534</v>
      </c>
      <c r="B131">
        <v>1</v>
      </c>
    </row>
    <row r="132" spans="1:2">
      <c r="A132" t="s">
        <v>1535</v>
      </c>
      <c r="B132">
        <v>1</v>
      </c>
    </row>
    <row r="133" spans="1:2">
      <c r="A133" t="s">
        <v>1536</v>
      </c>
      <c r="B133">
        <v>1</v>
      </c>
    </row>
    <row r="134" spans="1:2">
      <c r="A134" t="s">
        <v>1537</v>
      </c>
      <c r="B134">
        <v>1</v>
      </c>
    </row>
    <row r="135" spans="1:2">
      <c r="A135" t="s">
        <v>1538</v>
      </c>
      <c r="B135">
        <v>1</v>
      </c>
    </row>
    <row r="136" spans="1:2">
      <c r="A136" t="s">
        <v>1539</v>
      </c>
      <c r="B136">
        <v>1</v>
      </c>
    </row>
    <row r="137" spans="1:2">
      <c r="A137" t="s">
        <v>1540</v>
      </c>
      <c r="B137">
        <v>1</v>
      </c>
    </row>
    <row r="138" spans="1:2">
      <c r="A138" t="s">
        <v>1541</v>
      </c>
      <c r="B138">
        <v>1</v>
      </c>
    </row>
    <row r="139" spans="1:2">
      <c r="A139" t="s">
        <v>1542</v>
      </c>
      <c r="B139">
        <v>1</v>
      </c>
    </row>
    <row r="140" spans="1:2">
      <c r="A140" t="s">
        <v>1543</v>
      </c>
      <c r="B140">
        <v>1</v>
      </c>
    </row>
    <row r="141" spans="1:2">
      <c r="A141" t="s">
        <v>1544</v>
      </c>
      <c r="B141">
        <v>1</v>
      </c>
    </row>
    <row r="142" spans="1:2">
      <c r="A142" t="s">
        <v>1545</v>
      </c>
      <c r="B142">
        <v>1</v>
      </c>
    </row>
    <row r="143" spans="1:2">
      <c r="A143" t="s">
        <v>1546</v>
      </c>
      <c r="B143">
        <v>1</v>
      </c>
    </row>
    <row r="144" spans="1:2">
      <c r="A144" t="s">
        <v>1547</v>
      </c>
      <c r="B144">
        <v>1</v>
      </c>
    </row>
    <row r="145" spans="1:2">
      <c r="A145" t="s">
        <v>1548</v>
      </c>
      <c r="B145">
        <v>1</v>
      </c>
    </row>
    <row r="146" spans="1:2">
      <c r="A146" t="s">
        <v>1549</v>
      </c>
      <c r="B146">
        <v>1</v>
      </c>
    </row>
    <row r="147" spans="1:2">
      <c r="A147" t="s">
        <v>1550</v>
      </c>
      <c r="B147">
        <v>1</v>
      </c>
    </row>
    <row r="148" spans="1:2">
      <c r="A148" t="s">
        <v>1551</v>
      </c>
      <c r="B148">
        <v>1</v>
      </c>
    </row>
    <row r="149" spans="1:2">
      <c r="A149" t="s">
        <v>1552</v>
      </c>
      <c r="B149">
        <v>1</v>
      </c>
    </row>
    <row r="150" spans="1:2">
      <c r="A150" t="s">
        <v>1553</v>
      </c>
      <c r="B150">
        <v>1</v>
      </c>
    </row>
    <row r="151" spans="1:2">
      <c r="A151" t="s">
        <v>1554</v>
      </c>
      <c r="B151">
        <v>1</v>
      </c>
    </row>
    <row r="152" spans="1:2">
      <c r="A152" t="s">
        <v>1555</v>
      </c>
      <c r="B152">
        <v>1</v>
      </c>
    </row>
    <row r="153" spans="1:2">
      <c r="A153" t="s">
        <v>1556</v>
      </c>
      <c r="B153">
        <v>1</v>
      </c>
    </row>
    <row r="154" spans="1:2">
      <c r="A154" t="s">
        <v>1557</v>
      </c>
      <c r="B154">
        <v>1</v>
      </c>
    </row>
    <row r="155" spans="1:2">
      <c r="A155" t="s">
        <v>1558</v>
      </c>
      <c r="B155">
        <v>1</v>
      </c>
    </row>
    <row r="156" spans="1:2">
      <c r="A156" t="s">
        <v>1559</v>
      </c>
      <c r="B156">
        <v>1</v>
      </c>
    </row>
    <row r="157" spans="1:2">
      <c r="A157" t="s">
        <v>1560</v>
      </c>
      <c r="B157">
        <v>1</v>
      </c>
    </row>
    <row r="158" spans="1:2">
      <c r="A158" t="s">
        <v>1561</v>
      </c>
      <c r="B158">
        <v>1</v>
      </c>
    </row>
    <row r="159" spans="1:2">
      <c r="A159" t="s">
        <v>1562</v>
      </c>
      <c r="B159">
        <v>1</v>
      </c>
    </row>
    <row r="160" spans="1:2">
      <c r="A160" t="s">
        <v>1563</v>
      </c>
      <c r="B160">
        <v>1</v>
      </c>
    </row>
    <row r="161" spans="1:2">
      <c r="A161" t="s">
        <v>1564</v>
      </c>
      <c r="B161">
        <v>1</v>
      </c>
    </row>
    <row r="162" spans="1:2">
      <c r="A162" t="s">
        <v>1565</v>
      </c>
      <c r="B162">
        <v>1</v>
      </c>
    </row>
    <row r="163" spans="1:2">
      <c r="A163" t="s">
        <v>1566</v>
      </c>
      <c r="B163">
        <v>1</v>
      </c>
    </row>
    <row r="164" spans="1:2">
      <c r="A164" t="s">
        <v>1567</v>
      </c>
      <c r="B164">
        <v>1</v>
      </c>
    </row>
    <row r="165" spans="1:2">
      <c r="A165" t="s">
        <v>1568</v>
      </c>
      <c r="B165">
        <v>1</v>
      </c>
    </row>
    <row r="166" spans="1:2">
      <c r="A166" t="s">
        <v>1569</v>
      </c>
      <c r="B166">
        <v>1</v>
      </c>
    </row>
    <row r="167" spans="1:2">
      <c r="A167" t="s">
        <v>1570</v>
      </c>
      <c r="B167">
        <v>1</v>
      </c>
    </row>
    <row r="168" spans="1:2">
      <c r="A168" t="s">
        <v>1571</v>
      </c>
      <c r="B168">
        <v>1</v>
      </c>
    </row>
    <row r="169" spans="1:2">
      <c r="A169" t="s">
        <v>1572</v>
      </c>
      <c r="B169">
        <v>1</v>
      </c>
    </row>
    <row r="170" spans="1:2">
      <c r="A170" t="s">
        <v>1573</v>
      </c>
      <c r="B170">
        <v>1</v>
      </c>
    </row>
    <row r="171" spans="1:2">
      <c r="A171" t="s">
        <v>1574</v>
      </c>
      <c r="B171">
        <v>1</v>
      </c>
    </row>
    <row r="172" spans="1:2">
      <c r="A172" t="s">
        <v>1575</v>
      </c>
      <c r="B172">
        <v>1</v>
      </c>
    </row>
    <row r="173" spans="1:2">
      <c r="A173" t="s">
        <v>1576</v>
      </c>
      <c r="B173">
        <v>1</v>
      </c>
    </row>
    <row r="174" spans="1:2">
      <c r="A174" t="s">
        <v>1577</v>
      </c>
      <c r="B174">
        <v>1</v>
      </c>
    </row>
    <row r="175" spans="1:2">
      <c r="A175" t="s">
        <v>1578</v>
      </c>
      <c r="B175">
        <v>1</v>
      </c>
    </row>
    <row r="176" spans="1:2">
      <c r="A176" t="s">
        <v>1579</v>
      </c>
      <c r="B176">
        <v>1</v>
      </c>
    </row>
    <row r="177" spans="1:2">
      <c r="A177" t="s">
        <v>1580</v>
      </c>
      <c r="B177">
        <v>1</v>
      </c>
    </row>
    <row r="178" spans="1:2">
      <c r="A178" t="s">
        <v>1581</v>
      </c>
      <c r="B178">
        <v>1</v>
      </c>
    </row>
    <row r="179" spans="1:2">
      <c r="A179" t="s">
        <v>1582</v>
      </c>
      <c r="B179">
        <v>1</v>
      </c>
    </row>
    <row r="180" spans="1:2">
      <c r="A180" t="s">
        <v>1583</v>
      </c>
      <c r="B180">
        <v>1</v>
      </c>
    </row>
    <row r="181" spans="1:2">
      <c r="A181" t="s">
        <v>1584</v>
      </c>
      <c r="B181">
        <v>1</v>
      </c>
    </row>
    <row r="182" spans="1:2">
      <c r="A182" t="s">
        <v>1585</v>
      </c>
      <c r="B182">
        <v>1</v>
      </c>
    </row>
    <row r="183" spans="1:2">
      <c r="A183" t="s">
        <v>1586</v>
      </c>
      <c r="B183">
        <v>1</v>
      </c>
    </row>
    <row r="184" spans="1:2">
      <c r="A184" t="s">
        <v>1587</v>
      </c>
      <c r="B184">
        <v>1</v>
      </c>
    </row>
    <row r="185" spans="1:2">
      <c r="A185" t="s">
        <v>1588</v>
      </c>
      <c r="B185">
        <v>1</v>
      </c>
    </row>
    <row r="186" spans="1:2">
      <c r="A186" t="s">
        <v>1589</v>
      </c>
      <c r="B186">
        <v>1</v>
      </c>
    </row>
    <row r="187" spans="1:2">
      <c r="A187" t="s">
        <v>1590</v>
      </c>
      <c r="B187">
        <v>1</v>
      </c>
    </row>
    <row r="188" spans="1:2">
      <c r="A188" t="s">
        <v>1591</v>
      </c>
      <c r="B188">
        <v>1</v>
      </c>
    </row>
    <row r="189" spans="1:2">
      <c r="A189" t="s">
        <v>1592</v>
      </c>
      <c r="B189">
        <v>1</v>
      </c>
    </row>
    <row r="190" spans="1:2">
      <c r="A190" t="s">
        <v>1593</v>
      </c>
      <c r="B190">
        <v>1</v>
      </c>
    </row>
    <row r="191" spans="1:2">
      <c r="A191" t="s">
        <v>1594</v>
      </c>
      <c r="B191">
        <v>1</v>
      </c>
    </row>
    <row r="192" spans="1:2">
      <c r="A192" t="s">
        <v>1595</v>
      </c>
      <c r="B192">
        <v>1</v>
      </c>
    </row>
    <row r="193" spans="1:2">
      <c r="A193" t="s">
        <v>1596</v>
      </c>
      <c r="B193">
        <v>1</v>
      </c>
    </row>
    <row r="194" spans="1:2">
      <c r="A194" t="s">
        <v>1597</v>
      </c>
      <c r="B194">
        <v>1</v>
      </c>
    </row>
    <row r="195" spans="1:2">
      <c r="A195" t="s">
        <v>1598</v>
      </c>
      <c r="B195">
        <v>1</v>
      </c>
    </row>
    <row r="196" spans="1:2">
      <c r="A196" t="s">
        <v>1599</v>
      </c>
      <c r="B196">
        <v>1</v>
      </c>
    </row>
    <row r="197" spans="1:2">
      <c r="A197" t="s">
        <v>1600</v>
      </c>
      <c r="B197">
        <v>1</v>
      </c>
    </row>
    <row r="198" spans="1:2">
      <c r="A198" t="s">
        <v>1601</v>
      </c>
      <c r="B198">
        <v>1</v>
      </c>
    </row>
    <row r="199" spans="1:2">
      <c r="A199" t="s">
        <v>1602</v>
      </c>
      <c r="B199">
        <v>1</v>
      </c>
    </row>
    <row r="200" spans="1:2">
      <c r="A200" t="s">
        <v>1603</v>
      </c>
      <c r="B200">
        <v>1</v>
      </c>
    </row>
    <row r="201" spans="1:2">
      <c r="A201" t="s">
        <v>1604</v>
      </c>
      <c r="B201">
        <v>1</v>
      </c>
    </row>
    <row r="202" spans="1:2">
      <c r="A202" t="s">
        <v>1605</v>
      </c>
      <c r="B202">
        <v>1</v>
      </c>
    </row>
    <row r="203" spans="1:2">
      <c r="A203" t="s">
        <v>291</v>
      </c>
      <c r="B203">
        <v>0.2</v>
      </c>
    </row>
    <row r="204" spans="1:2">
      <c r="A204" t="s">
        <v>1606</v>
      </c>
      <c r="B204">
        <v>0.25</v>
      </c>
    </row>
    <row r="205" spans="1:2">
      <c r="A205" t="s">
        <v>1607</v>
      </c>
      <c r="B205">
        <v>0.3</v>
      </c>
    </row>
    <row r="206" spans="1:2">
      <c r="A206" t="s">
        <v>1608</v>
      </c>
      <c r="B206">
        <v>1</v>
      </c>
    </row>
    <row r="207" spans="1:2">
      <c r="A207" t="s">
        <v>1608</v>
      </c>
      <c r="B207">
        <v>1</v>
      </c>
    </row>
    <row r="208" spans="1:2">
      <c r="A208" t="s">
        <v>1609</v>
      </c>
      <c r="B208">
        <v>1</v>
      </c>
    </row>
    <row r="209" spans="1:2">
      <c r="A209" t="s">
        <v>1610</v>
      </c>
      <c r="B209">
        <v>1</v>
      </c>
    </row>
    <row r="210" spans="1:2">
      <c r="A210" t="s">
        <v>1611</v>
      </c>
      <c r="B210">
        <v>1</v>
      </c>
    </row>
    <row r="211" spans="1:2">
      <c r="A211" t="s">
        <v>1612</v>
      </c>
      <c r="B211">
        <v>1</v>
      </c>
    </row>
    <row r="212" spans="1:2">
      <c r="A212" t="s">
        <v>1613</v>
      </c>
      <c r="B212">
        <v>1</v>
      </c>
    </row>
    <row r="213" spans="1:2">
      <c r="A213" t="s">
        <v>1614</v>
      </c>
      <c r="B213">
        <v>1</v>
      </c>
    </row>
    <row r="214" spans="1:2">
      <c r="A214" t="s">
        <v>1615</v>
      </c>
      <c r="B214">
        <v>1</v>
      </c>
    </row>
    <row r="215" spans="1:2">
      <c r="A215" t="s">
        <v>1616</v>
      </c>
      <c r="B215">
        <v>1</v>
      </c>
    </row>
    <row r="216" spans="1:2">
      <c r="A216" t="s">
        <v>1617</v>
      </c>
      <c r="B216">
        <v>1</v>
      </c>
    </row>
    <row r="217" spans="1:2">
      <c r="A217" t="s">
        <v>1618</v>
      </c>
      <c r="B217">
        <v>1</v>
      </c>
    </row>
    <row r="218" spans="1:2">
      <c r="A218" t="s">
        <v>1619</v>
      </c>
      <c r="B218">
        <v>1</v>
      </c>
    </row>
    <row r="219" spans="1:2">
      <c r="A219" t="s">
        <v>1620</v>
      </c>
      <c r="B219">
        <v>1</v>
      </c>
    </row>
    <row r="220" spans="1:2">
      <c r="A220" t="s">
        <v>1621</v>
      </c>
      <c r="B220">
        <v>1</v>
      </c>
    </row>
    <row r="221" spans="1:2">
      <c r="A221" t="s">
        <v>1622</v>
      </c>
      <c r="B221">
        <v>1</v>
      </c>
    </row>
    <row r="222" spans="1:2">
      <c r="A222" t="s">
        <v>1623</v>
      </c>
      <c r="B222">
        <v>1</v>
      </c>
    </row>
    <row r="223" spans="1:2">
      <c r="A223" t="s">
        <v>1624</v>
      </c>
      <c r="B223">
        <v>1</v>
      </c>
    </row>
    <row r="224" spans="1:2">
      <c r="A224" t="s">
        <v>1625</v>
      </c>
      <c r="B224">
        <v>1</v>
      </c>
    </row>
    <row r="225" spans="1:2">
      <c r="A225" t="s">
        <v>1626</v>
      </c>
      <c r="B225">
        <v>1</v>
      </c>
    </row>
    <row r="226" spans="1:2">
      <c r="A226" t="s">
        <v>1627</v>
      </c>
      <c r="B226">
        <v>1</v>
      </c>
    </row>
    <row r="227" spans="1:2">
      <c r="A227" t="s">
        <v>1628</v>
      </c>
      <c r="B227">
        <v>1</v>
      </c>
    </row>
    <row r="228" spans="1:2">
      <c r="A228" t="s">
        <v>1629</v>
      </c>
      <c r="B228">
        <v>1</v>
      </c>
    </row>
    <row r="229" spans="1:2">
      <c r="A229" t="s">
        <v>1630</v>
      </c>
      <c r="B229">
        <v>1</v>
      </c>
    </row>
    <row r="230" spans="1:2">
      <c r="A230" t="s">
        <v>1631</v>
      </c>
      <c r="B230">
        <v>1</v>
      </c>
    </row>
    <row r="231" spans="1:2">
      <c r="A231" t="s">
        <v>1632</v>
      </c>
      <c r="B231">
        <v>1</v>
      </c>
    </row>
    <row r="232" spans="1:2">
      <c r="A232" t="s">
        <v>1633</v>
      </c>
      <c r="B232">
        <v>1</v>
      </c>
    </row>
    <row r="233" spans="1:2">
      <c r="A233" t="s">
        <v>1634</v>
      </c>
      <c r="B233">
        <v>1</v>
      </c>
    </row>
    <row r="234" spans="1:2">
      <c r="A234" t="s">
        <v>1635</v>
      </c>
      <c r="B234">
        <v>1</v>
      </c>
    </row>
    <row r="235" spans="1:2">
      <c r="A235" t="s">
        <v>1636</v>
      </c>
      <c r="B235">
        <v>1</v>
      </c>
    </row>
    <row r="236" spans="1:2">
      <c r="A236" t="s">
        <v>1637</v>
      </c>
      <c r="B236">
        <v>1</v>
      </c>
    </row>
    <row r="237" spans="1:2">
      <c r="A237" t="s">
        <v>1638</v>
      </c>
      <c r="B237">
        <v>1</v>
      </c>
    </row>
    <row r="238" spans="1:2">
      <c r="A238" t="s">
        <v>1639</v>
      </c>
      <c r="B238">
        <v>1</v>
      </c>
    </row>
    <row r="239" spans="1:2">
      <c r="A239" t="s">
        <v>1640</v>
      </c>
      <c r="B239">
        <v>1</v>
      </c>
    </row>
    <row r="240" spans="1:2">
      <c r="A240" t="s">
        <v>1641</v>
      </c>
      <c r="B240">
        <v>1</v>
      </c>
    </row>
    <row r="241" spans="1:2">
      <c r="A241" t="s">
        <v>1642</v>
      </c>
      <c r="B241">
        <v>1</v>
      </c>
    </row>
    <row r="242" spans="1:2">
      <c r="A242" t="s">
        <v>1643</v>
      </c>
      <c r="B242">
        <v>1</v>
      </c>
    </row>
    <row r="243" spans="1:2">
      <c r="A243" t="s">
        <v>1644</v>
      </c>
      <c r="B243">
        <v>1</v>
      </c>
    </row>
    <row r="244" spans="1:2">
      <c r="A244" t="s">
        <v>1645</v>
      </c>
      <c r="B244">
        <v>1</v>
      </c>
    </row>
    <row r="245" spans="1:2">
      <c r="A245" t="s">
        <v>1646</v>
      </c>
      <c r="B245">
        <v>1</v>
      </c>
    </row>
    <row r="246" spans="1:2">
      <c r="A246" t="s">
        <v>1647</v>
      </c>
      <c r="B246">
        <v>1</v>
      </c>
    </row>
    <row r="247" spans="1:2">
      <c r="A247" t="s">
        <v>1648</v>
      </c>
      <c r="B247">
        <v>1</v>
      </c>
    </row>
    <row r="248" spans="1:2">
      <c r="A248" t="s">
        <v>1649</v>
      </c>
      <c r="B248">
        <v>1</v>
      </c>
    </row>
    <row r="249" spans="1:2">
      <c r="A249" t="s">
        <v>1650</v>
      </c>
      <c r="B249">
        <v>1</v>
      </c>
    </row>
    <row r="250" spans="1:2">
      <c r="A250" t="s">
        <v>1651</v>
      </c>
      <c r="B250">
        <v>1</v>
      </c>
    </row>
    <row r="251" spans="1:2">
      <c r="A251" t="s">
        <v>1652</v>
      </c>
      <c r="B251">
        <v>1</v>
      </c>
    </row>
    <row r="252" spans="1:2">
      <c r="A252" t="s">
        <v>1653</v>
      </c>
      <c r="B252">
        <v>1</v>
      </c>
    </row>
    <row r="253" spans="1:2">
      <c r="A253" t="s">
        <v>1654</v>
      </c>
      <c r="B253">
        <v>1</v>
      </c>
    </row>
    <row r="254" spans="1:2">
      <c r="A254" t="s">
        <v>1655</v>
      </c>
      <c r="B254">
        <v>1</v>
      </c>
    </row>
    <row r="255" spans="1:2">
      <c r="A255" t="s">
        <v>1656</v>
      </c>
      <c r="B255">
        <v>1</v>
      </c>
    </row>
    <row r="256" spans="1:2">
      <c r="A256" t="s">
        <v>1657</v>
      </c>
      <c r="B256">
        <v>1</v>
      </c>
    </row>
    <row r="257" spans="1:2">
      <c r="A257" t="s">
        <v>1658</v>
      </c>
      <c r="B257">
        <v>1</v>
      </c>
    </row>
    <row r="258" spans="1:2">
      <c r="A258" t="s">
        <v>1659</v>
      </c>
      <c r="B258">
        <v>1</v>
      </c>
    </row>
    <row r="259" spans="1:2">
      <c r="A259" t="s">
        <v>1660</v>
      </c>
      <c r="B259">
        <v>1</v>
      </c>
    </row>
    <row r="260" spans="1:2">
      <c r="A260" t="s">
        <v>1661</v>
      </c>
      <c r="B260">
        <v>1</v>
      </c>
    </row>
    <row r="261" spans="1:2">
      <c r="A261" t="s">
        <v>1662</v>
      </c>
      <c r="B261">
        <v>1</v>
      </c>
    </row>
    <row r="262" spans="1:2">
      <c r="A262" t="s">
        <v>1663</v>
      </c>
      <c r="B262">
        <v>1</v>
      </c>
    </row>
    <row r="263" spans="1:2">
      <c r="A263" t="s">
        <v>1664</v>
      </c>
      <c r="B263">
        <v>1</v>
      </c>
    </row>
    <row r="264" spans="1:2">
      <c r="A264" t="s">
        <v>1665</v>
      </c>
      <c r="B264">
        <v>1</v>
      </c>
    </row>
    <row r="265" spans="1:2">
      <c r="A265" t="s">
        <v>1666</v>
      </c>
      <c r="B265">
        <v>1</v>
      </c>
    </row>
    <row r="266" spans="1:2">
      <c r="A266" t="s">
        <v>1667</v>
      </c>
      <c r="B266">
        <v>1</v>
      </c>
    </row>
    <row r="267" spans="1:2">
      <c r="A267" t="s">
        <v>1668</v>
      </c>
      <c r="B267">
        <v>1</v>
      </c>
    </row>
    <row r="268" spans="1:2">
      <c r="A268" t="s">
        <v>1669</v>
      </c>
      <c r="B268">
        <v>1</v>
      </c>
    </row>
    <row r="269" spans="1:2">
      <c r="A269" t="s">
        <v>1670</v>
      </c>
      <c r="B269">
        <v>1</v>
      </c>
    </row>
    <row r="270" spans="1:2">
      <c r="A270" t="s">
        <v>1671</v>
      </c>
      <c r="B270">
        <v>1</v>
      </c>
    </row>
    <row r="271" spans="1:2">
      <c r="A271" t="s">
        <v>1672</v>
      </c>
      <c r="B271">
        <v>1</v>
      </c>
    </row>
    <row r="272" spans="1:2">
      <c r="A272" t="s">
        <v>1673</v>
      </c>
      <c r="B272">
        <v>1</v>
      </c>
    </row>
    <row r="273" spans="1:2">
      <c r="A273" t="s">
        <v>1674</v>
      </c>
      <c r="B273">
        <v>1</v>
      </c>
    </row>
    <row r="274" spans="1:2">
      <c r="A274" t="s">
        <v>1675</v>
      </c>
      <c r="B274">
        <v>1</v>
      </c>
    </row>
    <row r="275" spans="1:2">
      <c r="A275" t="s">
        <v>1676</v>
      </c>
      <c r="B275">
        <v>1</v>
      </c>
    </row>
    <row r="276" spans="1:2">
      <c r="A276" t="s">
        <v>1677</v>
      </c>
      <c r="B276">
        <v>1</v>
      </c>
    </row>
    <row r="277" spans="1:2">
      <c r="A277" t="s">
        <v>1678</v>
      </c>
      <c r="B277">
        <v>1</v>
      </c>
    </row>
    <row r="278" spans="1:2">
      <c r="A278" t="s">
        <v>1679</v>
      </c>
      <c r="B278">
        <v>1</v>
      </c>
    </row>
    <row r="279" spans="1:2">
      <c r="A279" t="s">
        <v>1680</v>
      </c>
      <c r="B279">
        <v>1</v>
      </c>
    </row>
    <row r="280" spans="1:2">
      <c r="A280" t="s">
        <v>1681</v>
      </c>
      <c r="B280">
        <v>1</v>
      </c>
    </row>
    <row r="281" spans="1:2">
      <c r="A281" t="s">
        <v>1682</v>
      </c>
      <c r="B281">
        <v>1</v>
      </c>
    </row>
    <row r="282" spans="1:2">
      <c r="A282" t="s">
        <v>1683</v>
      </c>
      <c r="B282">
        <v>1</v>
      </c>
    </row>
    <row r="283" spans="1:2">
      <c r="A283" t="s">
        <v>1684</v>
      </c>
      <c r="B283">
        <v>1</v>
      </c>
    </row>
    <row r="284" spans="1:2">
      <c r="A284" t="s">
        <v>1685</v>
      </c>
      <c r="B284">
        <v>1</v>
      </c>
    </row>
    <row r="285" spans="1:2">
      <c r="A285" t="s">
        <v>1686</v>
      </c>
      <c r="B285">
        <v>1</v>
      </c>
    </row>
    <row r="286" spans="1:2">
      <c r="A286" t="s">
        <v>1687</v>
      </c>
      <c r="B286">
        <v>1</v>
      </c>
    </row>
    <row r="287" spans="1:2">
      <c r="A287" t="s">
        <v>1688</v>
      </c>
      <c r="B287">
        <v>1</v>
      </c>
    </row>
    <row r="288" spans="1:2">
      <c r="A288" t="s">
        <v>1689</v>
      </c>
      <c r="B288">
        <v>1</v>
      </c>
    </row>
    <row r="289" spans="1:2">
      <c r="A289" t="s">
        <v>1690</v>
      </c>
      <c r="B289">
        <v>1</v>
      </c>
    </row>
    <row r="290" spans="1:2">
      <c r="A290" t="s">
        <v>1691</v>
      </c>
      <c r="B290">
        <v>1</v>
      </c>
    </row>
    <row r="291" spans="1:2">
      <c r="A291" t="s">
        <v>1692</v>
      </c>
      <c r="B291">
        <v>1</v>
      </c>
    </row>
    <row r="292" spans="1:2">
      <c r="A292" t="s">
        <v>1693</v>
      </c>
      <c r="B292">
        <v>1</v>
      </c>
    </row>
    <row r="293" spans="1:2">
      <c r="A293" t="s">
        <v>1694</v>
      </c>
      <c r="B293">
        <v>1</v>
      </c>
    </row>
    <row r="294" spans="1:2">
      <c r="A294" t="s">
        <v>1695</v>
      </c>
      <c r="B294">
        <v>1</v>
      </c>
    </row>
    <row r="295" spans="1:2">
      <c r="A295" t="s">
        <v>1696</v>
      </c>
      <c r="B295">
        <v>1</v>
      </c>
    </row>
    <row r="296" spans="1:2">
      <c r="A296" t="s">
        <v>1697</v>
      </c>
      <c r="B296">
        <v>1</v>
      </c>
    </row>
    <row r="297" spans="1:2">
      <c r="A297" t="s">
        <v>1698</v>
      </c>
      <c r="B297">
        <v>1</v>
      </c>
    </row>
    <row r="298" spans="1:2">
      <c r="A298" t="s">
        <v>1699</v>
      </c>
      <c r="B298">
        <v>1</v>
      </c>
    </row>
    <row r="299" spans="1:2">
      <c r="A299" t="s">
        <v>1700</v>
      </c>
      <c r="B299">
        <v>1</v>
      </c>
    </row>
    <row r="300" spans="1:2">
      <c r="A300" t="s">
        <v>1701</v>
      </c>
      <c r="B300">
        <v>1</v>
      </c>
    </row>
    <row r="301" spans="1:2">
      <c r="A301" t="s">
        <v>1702</v>
      </c>
      <c r="B301">
        <v>1</v>
      </c>
    </row>
    <row r="302" spans="1:2">
      <c r="A302" t="s">
        <v>1703</v>
      </c>
      <c r="B302">
        <v>1</v>
      </c>
    </row>
    <row r="303" spans="1:2">
      <c r="A303" t="s">
        <v>1704</v>
      </c>
      <c r="B303">
        <v>1</v>
      </c>
    </row>
    <row r="304" spans="1:2">
      <c r="A304" t="s">
        <v>1705</v>
      </c>
      <c r="B304">
        <v>1</v>
      </c>
    </row>
    <row r="305" spans="1:2">
      <c r="A305" t="s">
        <v>1706</v>
      </c>
      <c r="B305">
        <v>1</v>
      </c>
    </row>
    <row r="306" spans="1:2">
      <c r="A306" t="s">
        <v>1707</v>
      </c>
      <c r="B306">
        <v>1</v>
      </c>
    </row>
    <row r="307" spans="1:2">
      <c r="A307" t="s">
        <v>1708</v>
      </c>
      <c r="B307">
        <v>1</v>
      </c>
    </row>
    <row r="308" spans="1:2">
      <c r="A308" t="s">
        <v>1709</v>
      </c>
      <c r="B308">
        <v>1</v>
      </c>
    </row>
    <row r="309" spans="1:2">
      <c r="A309" t="s">
        <v>1710</v>
      </c>
      <c r="B309">
        <v>1</v>
      </c>
    </row>
    <row r="310" spans="1:2">
      <c r="A310" t="s">
        <v>1711</v>
      </c>
      <c r="B310">
        <v>1</v>
      </c>
    </row>
    <row r="311" spans="1:2">
      <c r="A311" t="s">
        <v>1712</v>
      </c>
      <c r="B311">
        <v>1</v>
      </c>
    </row>
    <row r="312" spans="1:2">
      <c r="A312" t="s">
        <v>1713</v>
      </c>
      <c r="B312">
        <v>1</v>
      </c>
    </row>
    <row r="313" spans="1:2">
      <c r="A313" t="s">
        <v>1714</v>
      </c>
      <c r="B313">
        <v>1</v>
      </c>
    </row>
    <row r="314" spans="1:2">
      <c r="A314" t="s">
        <v>1715</v>
      </c>
      <c r="B314">
        <v>1</v>
      </c>
    </row>
    <row r="315" spans="1:2">
      <c r="A315" t="s">
        <v>1716</v>
      </c>
      <c r="B315">
        <v>1</v>
      </c>
    </row>
    <row r="316" spans="1:2">
      <c r="A316" t="s">
        <v>1717</v>
      </c>
      <c r="B316">
        <v>1</v>
      </c>
    </row>
    <row r="317" spans="1:2">
      <c r="A317" t="s">
        <v>1718</v>
      </c>
      <c r="B317">
        <v>1</v>
      </c>
    </row>
    <row r="318" spans="1:2">
      <c r="A318" t="s">
        <v>1719</v>
      </c>
      <c r="B318">
        <v>1</v>
      </c>
    </row>
    <row r="319" spans="1:2">
      <c r="A319" t="s">
        <v>1720</v>
      </c>
      <c r="B319">
        <v>1</v>
      </c>
    </row>
    <row r="320" spans="1:2">
      <c r="A320" t="s">
        <v>1721</v>
      </c>
      <c r="B320">
        <v>1</v>
      </c>
    </row>
    <row r="321" spans="1:2">
      <c r="A321" t="s">
        <v>1722</v>
      </c>
      <c r="B321">
        <v>1</v>
      </c>
    </row>
    <row r="322" spans="1:2">
      <c r="A322" t="s">
        <v>1723</v>
      </c>
      <c r="B322">
        <v>1</v>
      </c>
    </row>
    <row r="323" spans="1:2">
      <c r="A323" t="s">
        <v>1724</v>
      </c>
      <c r="B323">
        <v>1</v>
      </c>
    </row>
    <row r="324" spans="1:2">
      <c r="A324" t="s">
        <v>1725</v>
      </c>
      <c r="B324">
        <v>1</v>
      </c>
    </row>
    <row r="325" spans="1:2">
      <c r="A325" t="s">
        <v>1726</v>
      </c>
      <c r="B325">
        <v>1</v>
      </c>
    </row>
    <row r="326" spans="1:2">
      <c r="A326" t="s">
        <v>1727</v>
      </c>
      <c r="B326">
        <v>1</v>
      </c>
    </row>
    <row r="327" spans="1:2">
      <c r="A327" t="s">
        <v>1728</v>
      </c>
      <c r="B327">
        <v>1</v>
      </c>
    </row>
    <row r="328" spans="1:2">
      <c r="A328" t="s">
        <v>1729</v>
      </c>
      <c r="B328">
        <v>1</v>
      </c>
    </row>
    <row r="329" spans="1:2">
      <c r="A329" t="s">
        <v>1730</v>
      </c>
      <c r="B329">
        <v>1</v>
      </c>
    </row>
    <row r="330" spans="1:2">
      <c r="A330" t="s">
        <v>1731</v>
      </c>
      <c r="B330">
        <v>1</v>
      </c>
    </row>
    <row r="331" spans="1:2">
      <c r="A331" t="s">
        <v>1732</v>
      </c>
      <c r="B331">
        <v>1</v>
      </c>
    </row>
    <row r="332" spans="1:2">
      <c r="A332" t="s">
        <v>1733</v>
      </c>
      <c r="B332">
        <v>1</v>
      </c>
    </row>
    <row r="333" spans="1:2">
      <c r="A333" t="s">
        <v>1734</v>
      </c>
      <c r="B333">
        <v>1</v>
      </c>
    </row>
    <row r="334" spans="1:2">
      <c r="A334" t="s">
        <v>1735</v>
      </c>
      <c r="B334">
        <v>1</v>
      </c>
    </row>
    <row r="335" spans="1:2">
      <c r="A335" t="s">
        <v>1736</v>
      </c>
      <c r="B335">
        <v>1</v>
      </c>
    </row>
    <row r="336" spans="1:2">
      <c r="A336" t="s">
        <v>1737</v>
      </c>
      <c r="B336">
        <v>1</v>
      </c>
    </row>
    <row r="337" spans="1:2">
      <c r="A337" t="s">
        <v>1738</v>
      </c>
      <c r="B337">
        <v>1</v>
      </c>
    </row>
    <row r="338" spans="1:2">
      <c r="A338" t="s">
        <v>1739</v>
      </c>
      <c r="B338">
        <v>1</v>
      </c>
    </row>
    <row r="339" spans="1:2">
      <c r="A339" t="s">
        <v>1740</v>
      </c>
      <c r="B339">
        <v>1</v>
      </c>
    </row>
    <row r="340" spans="1:2">
      <c r="A340" t="s">
        <v>1741</v>
      </c>
      <c r="B340">
        <v>1</v>
      </c>
    </row>
    <row r="341" spans="1:2">
      <c r="A341" t="s">
        <v>1742</v>
      </c>
      <c r="B341">
        <v>1</v>
      </c>
    </row>
    <row r="342" spans="1:2">
      <c r="A342" t="s">
        <v>1743</v>
      </c>
      <c r="B342">
        <v>1</v>
      </c>
    </row>
    <row r="343" spans="1:2">
      <c r="A343" t="s">
        <v>1744</v>
      </c>
      <c r="B343">
        <v>1</v>
      </c>
    </row>
    <row r="344" spans="1:2">
      <c r="A344" t="s">
        <v>1745</v>
      </c>
      <c r="B344">
        <v>1</v>
      </c>
    </row>
    <row r="345" spans="1:2">
      <c r="A345" t="s">
        <v>1746</v>
      </c>
      <c r="B345">
        <v>1</v>
      </c>
    </row>
    <row r="346" spans="1:2">
      <c r="A346" t="s">
        <v>1747</v>
      </c>
      <c r="B346">
        <v>1</v>
      </c>
    </row>
    <row r="347" spans="1:2">
      <c r="A347" t="s">
        <v>1748</v>
      </c>
      <c r="B347">
        <v>1</v>
      </c>
    </row>
    <row r="348" spans="1:2">
      <c r="A348" t="s">
        <v>1749</v>
      </c>
      <c r="B348">
        <v>1</v>
      </c>
    </row>
    <row r="349" spans="1:2">
      <c r="A349" t="s">
        <v>1750</v>
      </c>
      <c r="B349">
        <v>1</v>
      </c>
    </row>
    <row r="350" spans="1:2">
      <c r="A350" t="s">
        <v>1751</v>
      </c>
      <c r="B350">
        <v>1</v>
      </c>
    </row>
    <row r="351" spans="1:2">
      <c r="A351" t="s">
        <v>1752</v>
      </c>
      <c r="B351">
        <v>1</v>
      </c>
    </row>
    <row r="352" spans="1:2">
      <c r="A352" t="s">
        <v>1753</v>
      </c>
      <c r="B352">
        <v>1</v>
      </c>
    </row>
    <row r="353" spans="1:2">
      <c r="A353" t="s">
        <v>1754</v>
      </c>
      <c r="B353">
        <v>1</v>
      </c>
    </row>
    <row r="354" spans="1:2">
      <c r="A354" t="s">
        <v>1755</v>
      </c>
      <c r="B354">
        <v>1</v>
      </c>
    </row>
    <row r="355" spans="1:2">
      <c r="A355" t="s">
        <v>1756</v>
      </c>
      <c r="B355">
        <v>1</v>
      </c>
    </row>
    <row r="356" spans="1:2">
      <c r="A356" t="s">
        <v>1757</v>
      </c>
      <c r="B356">
        <v>1</v>
      </c>
    </row>
    <row r="357" spans="1:2">
      <c r="A357" t="s">
        <v>1758</v>
      </c>
      <c r="B357">
        <v>1</v>
      </c>
    </row>
    <row r="358" spans="1:2">
      <c r="A358" t="s">
        <v>1759</v>
      </c>
      <c r="B358">
        <v>1</v>
      </c>
    </row>
    <row r="359" spans="1:2">
      <c r="A359" t="s">
        <v>1760</v>
      </c>
      <c r="B359">
        <v>1</v>
      </c>
    </row>
    <row r="360" spans="1:2">
      <c r="A360" t="s">
        <v>1761</v>
      </c>
      <c r="B360">
        <v>1</v>
      </c>
    </row>
    <row r="361" spans="1:2">
      <c r="A361" t="s">
        <v>1762</v>
      </c>
      <c r="B361">
        <v>1</v>
      </c>
    </row>
    <row r="362" spans="1:2">
      <c r="A362" t="s">
        <v>1763</v>
      </c>
      <c r="B362">
        <v>1</v>
      </c>
    </row>
    <row r="363" spans="1:2">
      <c r="A363" t="s">
        <v>1764</v>
      </c>
      <c r="B363">
        <v>1</v>
      </c>
    </row>
    <row r="364" spans="1:2">
      <c r="A364" t="s">
        <v>1765</v>
      </c>
      <c r="B364">
        <v>1</v>
      </c>
    </row>
    <row r="365" spans="1:2">
      <c r="A365" t="s">
        <v>1766</v>
      </c>
      <c r="B365">
        <v>1</v>
      </c>
    </row>
    <row r="366" spans="1:2">
      <c r="A366" t="s">
        <v>1767</v>
      </c>
      <c r="B366">
        <v>1</v>
      </c>
    </row>
    <row r="367" spans="1:2">
      <c r="A367" t="s">
        <v>1768</v>
      </c>
      <c r="B367">
        <v>1</v>
      </c>
    </row>
    <row r="368" spans="1:2">
      <c r="A368" t="s">
        <v>1769</v>
      </c>
      <c r="B368">
        <v>1</v>
      </c>
    </row>
    <row r="369" spans="1:2">
      <c r="A369" t="s">
        <v>1770</v>
      </c>
      <c r="B369">
        <v>1</v>
      </c>
    </row>
    <row r="370" spans="1:2">
      <c r="A370" t="s">
        <v>1771</v>
      </c>
      <c r="B370">
        <v>1</v>
      </c>
    </row>
    <row r="371" spans="1:2">
      <c r="A371" t="s">
        <v>1772</v>
      </c>
      <c r="B371">
        <v>1</v>
      </c>
    </row>
    <row r="372" spans="1:2">
      <c r="A372" t="s">
        <v>1773</v>
      </c>
      <c r="B372">
        <v>1</v>
      </c>
    </row>
    <row r="373" spans="1:2">
      <c r="A373" t="s">
        <v>1774</v>
      </c>
      <c r="B373">
        <v>1</v>
      </c>
    </row>
    <row r="374" spans="1:2">
      <c r="A374" t="s">
        <v>1775</v>
      </c>
      <c r="B374">
        <v>1</v>
      </c>
    </row>
    <row r="375" spans="1:2">
      <c r="A375" t="s">
        <v>1776</v>
      </c>
      <c r="B375">
        <v>1</v>
      </c>
    </row>
    <row r="376" spans="1:2">
      <c r="A376" t="s">
        <v>1777</v>
      </c>
      <c r="B376">
        <v>1</v>
      </c>
    </row>
    <row r="377" spans="1:2">
      <c r="A377" t="s">
        <v>1778</v>
      </c>
      <c r="B377">
        <v>1</v>
      </c>
    </row>
    <row r="378" spans="1:2">
      <c r="A378" t="s">
        <v>1779</v>
      </c>
      <c r="B378">
        <v>1</v>
      </c>
    </row>
    <row r="379" spans="1:2">
      <c r="A379" t="s">
        <v>1780</v>
      </c>
      <c r="B379">
        <v>1</v>
      </c>
    </row>
    <row r="380" spans="1:2">
      <c r="A380" t="s">
        <v>1781</v>
      </c>
      <c r="B380">
        <v>1</v>
      </c>
    </row>
    <row r="381" spans="1:2">
      <c r="A381" t="s">
        <v>1782</v>
      </c>
      <c r="B381">
        <v>1</v>
      </c>
    </row>
    <row r="382" spans="1:2">
      <c r="A382" t="s">
        <v>1783</v>
      </c>
      <c r="B382">
        <v>1</v>
      </c>
    </row>
    <row r="383" spans="1:2">
      <c r="A383" t="s">
        <v>1784</v>
      </c>
      <c r="B383">
        <v>1</v>
      </c>
    </row>
    <row r="384" spans="1:2">
      <c r="A384" t="s">
        <v>1785</v>
      </c>
      <c r="B384">
        <v>1</v>
      </c>
    </row>
    <row r="385" spans="1:2">
      <c r="A385" t="s">
        <v>1786</v>
      </c>
      <c r="B385">
        <v>1</v>
      </c>
    </row>
    <row r="386" spans="1:2">
      <c r="A386" t="s">
        <v>1787</v>
      </c>
      <c r="B386">
        <v>1</v>
      </c>
    </row>
    <row r="387" spans="1:2">
      <c r="A387" t="s">
        <v>1788</v>
      </c>
      <c r="B387">
        <v>1</v>
      </c>
    </row>
    <row r="388" spans="1:2">
      <c r="A388" t="s">
        <v>1789</v>
      </c>
      <c r="B388">
        <v>1</v>
      </c>
    </row>
    <row r="389" spans="1:2">
      <c r="A389" t="s">
        <v>1790</v>
      </c>
      <c r="B389">
        <v>1</v>
      </c>
    </row>
    <row r="390" spans="1:2">
      <c r="A390" t="s">
        <v>1791</v>
      </c>
      <c r="B390">
        <v>1</v>
      </c>
    </row>
    <row r="391" spans="1:2">
      <c r="A391" t="s">
        <v>1792</v>
      </c>
      <c r="B391">
        <v>1</v>
      </c>
    </row>
    <row r="392" spans="1:2">
      <c r="A392" t="s">
        <v>1793</v>
      </c>
      <c r="B392">
        <v>1</v>
      </c>
    </row>
    <row r="393" spans="1:2">
      <c r="A393" t="s">
        <v>1794</v>
      </c>
      <c r="B393">
        <v>1</v>
      </c>
    </row>
    <row r="394" spans="1:2">
      <c r="A394" t="s">
        <v>1795</v>
      </c>
      <c r="B394">
        <v>1</v>
      </c>
    </row>
    <row r="395" spans="1:2">
      <c r="A395" t="s">
        <v>1796</v>
      </c>
      <c r="B395">
        <v>1</v>
      </c>
    </row>
    <row r="396" spans="1:2">
      <c r="A396" t="s">
        <v>1797</v>
      </c>
      <c r="B396">
        <v>1</v>
      </c>
    </row>
    <row r="397" spans="1:2">
      <c r="A397" t="s">
        <v>1798</v>
      </c>
      <c r="B397">
        <v>1</v>
      </c>
    </row>
    <row r="398" spans="1:2">
      <c r="A398" t="s">
        <v>1799</v>
      </c>
      <c r="B398">
        <v>1</v>
      </c>
    </row>
    <row r="399" spans="1:2">
      <c r="A399" t="s">
        <v>1800</v>
      </c>
      <c r="B399">
        <v>1</v>
      </c>
    </row>
    <row r="400" spans="1:2">
      <c r="A400" t="s">
        <v>1801</v>
      </c>
      <c r="B400">
        <v>1</v>
      </c>
    </row>
    <row r="401" spans="1:2">
      <c r="A401" t="s">
        <v>1802</v>
      </c>
      <c r="B401">
        <v>1</v>
      </c>
    </row>
    <row r="402" spans="1:2">
      <c r="A402" t="s">
        <v>1803</v>
      </c>
      <c r="B402">
        <v>1</v>
      </c>
    </row>
    <row r="403" spans="1:2">
      <c r="A403" t="s">
        <v>1804</v>
      </c>
      <c r="B403">
        <v>1</v>
      </c>
    </row>
    <row r="404" spans="1:2">
      <c r="A404" t="s">
        <v>1805</v>
      </c>
      <c r="B404">
        <v>1</v>
      </c>
    </row>
    <row r="405" spans="1:2">
      <c r="A405" t="s">
        <v>293</v>
      </c>
      <c r="B405">
        <v>0.2</v>
      </c>
    </row>
    <row r="406" spans="1:2">
      <c r="A406" t="s">
        <v>1806</v>
      </c>
      <c r="B406">
        <v>0.25</v>
      </c>
    </row>
    <row r="407" spans="1:2">
      <c r="A407" t="s">
        <v>1807</v>
      </c>
      <c r="B407">
        <v>0.3</v>
      </c>
    </row>
    <row r="408" spans="1:2">
      <c r="A408" t="s">
        <v>1808</v>
      </c>
      <c r="B408">
        <v>1</v>
      </c>
    </row>
    <row r="409" spans="1:2">
      <c r="A409" t="s">
        <v>1808</v>
      </c>
      <c r="B409">
        <v>1</v>
      </c>
    </row>
    <row r="410" spans="1:2">
      <c r="A410" t="s">
        <v>1809</v>
      </c>
      <c r="B410">
        <v>1</v>
      </c>
    </row>
    <row r="411" spans="1:2">
      <c r="A411" t="s">
        <v>1810</v>
      </c>
      <c r="B411">
        <v>1</v>
      </c>
    </row>
    <row r="412" spans="1:2">
      <c r="A412" t="s">
        <v>1811</v>
      </c>
      <c r="B412">
        <v>1</v>
      </c>
    </row>
    <row r="413" spans="1:2">
      <c r="A413" t="s">
        <v>1812</v>
      </c>
      <c r="B413">
        <v>1</v>
      </c>
    </row>
    <row r="414" spans="1:2">
      <c r="A414" t="s">
        <v>1813</v>
      </c>
      <c r="B414">
        <v>1</v>
      </c>
    </row>
    <row r="415" spans="1:2">
      <c r="A415" t="s">
        <v>1814</v>
      </c>
      <c r="B415">
        <v>1</v>
      </c>
    </row>
    <row r="416" spans="1:2">
      <c r="A416" t="s">
        <v>1815</v>
      </c>
      <c r="B416">
        <v>1</v>
      </c>
    </row>
    <row r="417" spans="1:2">
      <c r="A417" t="s">
        <v>1816</v>
      </c>
      <c r="B417">
        <v>1</v>
      </c>
    </row>
    <row r="418" spans="1:2">
      <c r="A418" t="s">
        <v>1817</v>
      </c>
      <c r="B418">
        <v>1</v>
      </c>
    </row>
    <row r="419" spans="1:2">
      <c r="A419" t="s">
        <v>1818</v>
      </c>
      <c r="B419">
        <v>1</v>
      </c>
    </row>
    <row r="420" spans="1:2">
      <c r="A420" t="s">
        <v>1819</v>
      </c>
      <c r="B420">
        <v>1</v>
      </c>
    </row>
    <row r="421" spans="1:2">
      <c r="A421" t="s">
        <v>1820</v>
      </c>
      <c r="B421">
        <v>1</v>
      </c>
    </row>
    <row r="422" spans="1:2">
      <c r="A422" t="s">
        <v>1821</v>
      </c>
      <c r="B422">
        <v>1</v>
      </c>
    </row>
    <row r="423" spans="1:2">
      <c r="A423" t="s">
        <v>1822</v>
      </c>
      <c r="B423">
        <v>1</v>
      </c>
    </row>
    <row r="424" spans="1:2">
      <c r="A424" t="s">
        <v>1823</v>
      </c>
      <c r="B424">
        <v>1</v>
      </c>
    </row>
    <row r="425" spans="1:2">
      <c r="A425" t="s">
        <v>1824</v>
      </c>
      <c r="B425">
        <v>1</v>
      </c>
    </row>
    <row r="426" spans="1:2">
      <c r="A426" t="s">
        <v>1825</v>
      </c>
      <c r="B426">
        <v>1</v>
      </c>
    </row>
    <row r="427" spans="1:2">
      <c r="A427" t="s">
        <v>1826</v>
      </c>
      <c r="B427">
        <v>1</v>
      </c>
    </row>
    <row r="428" spans="1:2">
      <c r="A428" t="s">
        <v>1827</v>
      </c>
      <c r="B428">
        <v>1</v>
      </c>
    </row>
    <row r="429" spans="1:2">
      <c r="A429" t="s">
        <v>1828</v>
      </c>
      <c r="B429">
        <v>1</v>
      </c>
    </row>
    <row r="430" spans="1:2">
      <c r="A430" t="s">
        <v>1829</v>
      </c>
      <c r="B430">
        <v>1</v>
      </c>
    </row>
    <row r="431" spans="1:2">
      <c r="A431" t="s">
        <v>1830</v>
      </c>
      <c r="B431">
        <v>1</v>
      </c>
    </row>
    <row r="432" spans="1:2">
      <c r="A432" t="s">
        <v>1831</v>
      </c>
      <c r="B432">
        <v>1</v>
      </c>
    </row>
    <row r="433" spans="1:2">
      <c r="A433" t="s">
        <v>1832</v>
      </c>
      <c r="B433">
        <v>1</v>
      </c>
    </row>
    <row r="434" spans="1:2">
      <c r="A434" t="s">
        <v>1833</v>
      </c>
      <c r="B434">
        <v>1</v>
      </c>
    </row>
    <row r="435" spans="1:2">
      <c r="A435" t="s">
        <v>1834</v>
      </c>
      <c r="B435">
        <v>1</v>
      </c>
    </row>
    <row r="436" spans="1:2">
      <c r="A436" t="s">
        <v>1835</v>
      </c>
      <c r="B436">
        <v>1</v>
      </c>
    </row>
    <row r="437" spans="1:2">
      <c r="A437" t="s">
        <v>1836</v>
      </c>
      <c r="B437">
        <v>1</v>
      </c>
    </row>
    <row r="438" spans="1:2">
      <c r="A438" t="s">
        <v>1837</v>
      </c>
      <c r="B438">
        <v>1</v>
      </c>
    </row>
    <row r="439" spans="1:2">
      <c r="A439" t="s">
        <v>1838</v>
      </c>
      <c r="B439">
        <v>1</v>
      </c>
    </row>
    <row r="440" spans="1:2">
      <c r="A440" t="s">
        <v>1839</v>
      </c>
      <c r="B440">
        <v>1</v>
      </c>
    </row>
    <row r="441" spans="1:2">
      <c r="A441" t="s">
        <v>1840</v>
      </c>
      <c r="B441">
        <v>1</v>
      </c>
    </row>
    <row r="442" spans="1:2">
      <c r="A442" t="s">
        <v>1841</v>
      </c>
      <c r="B442">
        <v>1</v>
      </c>
    </row>
    <row r="443" spans="1:2">
      <c r="A443" t="s">
        <v>1842</v>
      </c>
      <c r="B443">
        <v>1</v>
      </c>
    </row>
    <row r="444" spans="1:2">
      <c r="A444" t="s">
        <v>1843</v>
      </c>
      <c r="B444">
        <v>1</v>
      </c>
    </row>
    <row r="445" spans="1:2">
      <c r="A445" t="s">
        <v>1844</v>
      </c>
      <c r="B445">
        <v>1</v>
      </c>
    </row>
    <row r="446" spans="1:2">
      <c r="A446" t="s">
        <v>1845</v>
      </c>
      <c r="B446">
        <v>1</v>
      </c>
    </row>
    <row r="447" spans="1:2">
      <c r="A447" t="s">
        <v>1846</v>
      </c>
      <c r="B447">
        <v>1</v>
      </c>
    </row>
    <row r="448" spans="1:2">
      <c r="A448" t="s">
        <v>1847</v>
      </c>
      <c r="B448">
        <v>1</v>
      </c>
    </row>
    <row r="449" spans="1:2">
      <c r="A449" t="s">
        <v>1848</v>
      </c>
      <c r="B449">
        <v>1</v>
      </c>
    </row>
    <row r="450" spans="1:2">
      <c r="A450" t="s">
        <v>1849</v>
      </c>
      <c r="B450">
        <v>1</v>
      </c>
    </row>
    <row r="451" spans="1:2">
      <c r="A451" t="s">
        <v>1850</v>
      </c>
      <c r="B451">
        <v>1</v>
      </c>
    </row>
    <row r="452" spans="1:2">
      <c r="A452" t="s">
        <v>1851</v>
      </c>
      <c r="B452">
        <v>1</v>
      </c>
    </row>
    <row r="453" spans="1:2">
      <c r="A453" t="s">
        <v>1852</v>
      </c>
      <c r="B453">
        <v>1</v>
      </c>
    </row>
    <row r="454" spans="1:2">
      <c r="A454" t="s">
        <v>1853</v>
      </c>
      <c r="B454">
        <v>1</v>
      </c>
    </row>
    <row r="455" spans="1:2">
      <c r="A455" t="s">
        <v>1854</v>
      </c>
      <c r="B455">
        <v>1</v>
      </c>
    </row>
    <row r="456" spans="1:2">
      <c r="A456" t="s">
        <v>1855</v>
      </c>
      <c r="B456">
        <v>1</v>
      </c>
    </row>
    <row r="457" spans="1:2">
      <c r="A457" t="s">
        <v>1856</v>
      </c>
      <c r="B457">
        <v>1</v>
      </c>
    </row>
    <row r="458" spans="1:2">
      <c r="A458" t="s">
        <v>1857</v>
      </c>
      <c r="B458">
        <v>1</v>
      </c>
    </row>
    <row r="459" spans="1:2">
      <c r="A459" t="s">
        <v>1858</v>
      </c>
      <c r="B459">
        <v>1</v>
      </c>
    </row>
    <row r="460" spans="1:2">
      <c r="A460" t="s">
        <v>1859</v>
      </c>
      <c r="B460">
        <v>1</v>
      </c>
    </row>
    <row r="461" spans="1:2">
      <c r="A461" t="s">
        <v>1860</v>
      </c>
      <c r="B461">
        <v>1</v>
      </c>
    </row>
    <row r="462" spans="1:2">
      <c r="A462" t="s">
        <v>1861</v>
      </c>
      <c r="B462">
        <v>1</v>
      </c>
    </row>
    <row r="463" spans="1:2">
      <c r="A463" t="s">
        <v>1862</v>
      </c>
      <c r="B463">
        <v>1</v>
      </c>
    </row>
    <row r="464" spans="1:2">
      <c r="A464" t="s">
        <v>1863</v>
      </c>
      <c r="B464">
        <v>1</v>
      </c>
    </row>
    <row r="465" spans="1:2">
      <c r="A465" t="s">
        <v>1864</v>
      </c>
      <c r="B465">
        <v>1</v>
      </c>
    </row>
    <row r="466" spans="1:2">
      <c r="A466" t="s">
        <v>1865</v>
      </c>
      <c r="B466">
        <v>1</v>
      </c>
    </row>
    <row r="467" spans="1:2">
      <c r="A467" t="s">
        <v>1866</v>
      </c>
      <c r="B467">
        <v>1</v>
      </c>
    </row>
    <row r="468" spans="1:2">
      <c r="A468" t="s">
        <v>1867</v>
      </c>
      <c r="B468">
        <v>1</v>
      </c>
    </row>
    <row r="469" spans="1:2">
      <c r="A469" t="s">
        <v>1868</v>
      </c>
      <c r="B469">
        <v>1</v>
      </c>
    </row>
    <row r="470" spans="1:2">
      <c r="A470" t="s">
        <v>1869</v>
      </c>
      <c r="B470">
        <v>1</v>
      </c>
    </row>
    <row r="471" spans="1:2">
      <c r="A471" t="s">
        <v>1870</v>
      </c>
      <c r="B471">
        <v>1</v>
      </c>
    </row>
    <row r="472" spans="1:2">
      <c r="A472" t="s">
        <v>1871</v>
      </c>
      <c r="B472">
        <v>1</v>
      </c>
    </row>
    <row r="473" spans="1:2">
      <c r="A473" t="s">
        <v>1872</v>
      </c>
      <c r="B473">
        <v>1</v>
      </c>
    </row>
    <row r="474" spans="1:2">
      <c r="A474" t="s">
        <v>1873</v>
      </c>
      <c r="B474">
        <v>1</v>
      </c>
    </row>
    <row r="475" spans="1:2">
      <c r="A475" t="s">
        <v>1874</v>
      </c>
      <c r="B475">
        <v>1</v>
      </c>
    </row>
    <row r="476" spans="1:2">
      <c r="A476" t="s">
        <v>1875</v>
      </c>
      <c r="B476">
        <v>1</v>
      </c>
    </row>
    <row r="477" spans="1:2">
      <c r="A477" t="s">
        <v>1876</v>
      </c>
      <c r="B477">
        <v>1</v>
      </c>
    </row>
    <row r="478" spans="1:2">
      <c r="A478" t="s">
        <v>1877</v>
      </c>
      <c r="B478">
        <v>1</v>
      </c>
    </row>
    <row r="479" spans="1:2">
      <c r="A479" t="s">
        <v>1878</v>
      </c>
      <c r="B479">
        <v>1</v>
      </c>
    </row>
    <row r="480" spans="1:2">
      <c r="A480" t="s">
        <v>1879</v>
      </c>
      <c r="B480">
        <v>1</v>
      </c>
    </row>
    <row r="481" spans="1:2">
      <c r="A481" t="s">
        <v>1880</v>
      </c>
      <c r="B481">
        <v>1</v>
      </c>
    </row>
    <row r="482" spans="1:2">
      <c r="A482" t="s">
        <v>1881</v>
      </c>
      <c r="B482">
        <v>1</v>
      </c>
    </row>
    <row r="483" spans="1:2">
      <c r="A483" t="s">
        <v>1882</v>
      </c>
      <c r="B483">
        <v>1</v>
      </c>
    </row>
    <row r="484" spans="1:2">
      <c r="A484" t="s">
        <v>1883</v>
      </c>
      <c r="B484">
        <v>1</v>
      </c>
    </row>
    <row r="485" spans="1:2">
      <c r="A485" t="s">
        <v>1884</v>
      </c>
      <c r="B485">
        <v>1</v>
      </c>
    </row>
    <row r="486" spans="1:2">
      <c r="A486" t="s">
        <v>1885</v>
      </c>
      <c r="B486">
        <v>1</v>
      </c>
    </row>
    <row r="487" spans="1:2">
      <c r="A487" t="s">
        <v>1886</v>
      </c>
      <c r="B487">
        <v>1</v>
      </c>
    </row>
    <row r="488" spans="1:2">
      <c r="A488" t="s">
        <v>1887</v>
      </c>
      <c r="B488">
        <v>1</v>
      </c>
    </row>
    <row r="489" spans="1:2">
      <c r="A489" t="s">
        <v>1888</v>
      </c>
      <c r="B489">
        <v>1</v>
      </c>
    </row>
    <row r="490" spans="1:2">
      <c r="A490" t="s">
        <v>1889</v>
      </c>
      <c r="B490">
        <v>1</v>
      </c>
    </row>
    <row r="491" spans="1:2">
      <c r="A491" t="s">
        <v>1890</v>
      </c>
      <c r="B491">
        <v>1</v>
      </c>
    </row>
    <row r="492" spans="1:2">
      <c r="A492" t="s">
        <v>1891</v>
      </c>
      <c r="B492">
        <v>1</v>
      </c>
    </row>
    <row r="493" spans="1:2">
      <c r="A493" t="s">
        <v>1892</v>
      </c>
      <c r="B493">
        <v>1</v>
      </c>
    </row>
    <row r="494" spans="1:2">
      <c r="A494" t="s">
        <v>1893</v>
      </c>
      <c r="B494">
        <v>1</v>
      </c>
    </row>
    <row r="495" spans="1:2">
      <c r="A495" t="s">
        <v>1894</v>
      </c>
      <c r="B495">
        <v>1</v>
      </c>
    </row>
    <row r="496" spans="1:2">
      <c r="A496" t="s">
        <v>1895</v>
      </c>
      <c r="B496">
        <v>1</v>
      </c>
    </row>
    <row r="497" spans="1:2">
      <c r="A497" t="s">
        <v>1896</v>
      </c>
      <c r="B497">
        <v>1</v>
      </c>
    </row>
    <row r="498" spans="1:2">
      <c r="A498" t="s">
        <v>1897</v>
      </c>
      <c r="B498">
        <v>1</v>
      </c>
    </row>
    <row r="499" spans="1:2">
      <c r="A499" t="s">
        <v>1898</v>
      </c>
      <c r="B499">
        <v>1</v>
      </c>
    </row>
    <row r="500" spans="1:2">
      <c r="A500" t="s">
        <v>1899</v>
      </c>
      <c r="B500">
        <v>1</v>
      </c>
    </row>
    <row r="501" spans="1:2">
      <c r="A501" t="s">
        <v>1900</v>
      </c>
      <c r="B501">
        <v>1</v>
      </c>
    </row>
    <row r="502" spans="1:2">
      <c r="A502" t="s">
        <v>1901</v>
      </c>
      <c r="B502">
        <v>1</v>
      </c>
    </row>
    <row r="503" spans="1:2">
      <c r="A503" t="s">
        <v>1902</v>
      </c>
      <c r="B503">
        <v>1</v>
      </c>
    </row>
    <row r="504" spans="1:2">
      <c r="A504" t="s">
        <v>1903</v>
      </c>
      <c r="B504">
        <v>1</v>
      </c>
    </row>
    <row r="505" spans="1:2">
      <c r="A505" t="s">
        <v>1904</v>
      </c>
      <c r="B505">
        <v>1</v>
      </c>
    </row>
    <row r="506" spans="1:2">
      <c r="A506" t="s">
        <v>1905</v>
      </c>
      <c r="B506">
        <v>1</v>
      </c>
    </row>
    <row r="507" spans="1:2">
      <c r="A507" t="s">
        <v>1906</v>
      </c>
      <c r="B507">
        <v>1</v>
      </c>
    </row>
    <row r="508" spans="1:2">
      <c r="A508" t="s">
        <v>1907</v>
      </c>
      <c r="B508">
        <v>1</v>
      </c>
    </row>
    <row r="509" spans="1:2">
      <c r="A509" t="s">
        <v>1908</v>
      </c>
      <c r="B509">
        <v>1</v>
      </c>
    </row>
    <row r="510" spans="1:2">
      <c r="A510" t="s">
        <v>1909</v>
      </c>
      <c r="B510">
        <v>1</v>
      </c>
    </row>
    <row r="511" spans="1:2">
      <c r="A511" t="s">
        <v>1910</v>
      </c>
      <c r="B511">
        <v>1</v>
      </c>
    </row>
    <row r="512" spans="1:2">
      <c r="A512" t="s">
        <v>1911</v>
      </c>
      <c r="B512">
        <v>1</v>
      </c>
    </row>
    <row r="513" spans="1:2">
      <c r="A513" t="s">
        <v>1912</v>
      </c>
      <c r="B513">
        <v>1</v>
      </c>
    </row>
    <row r="514" spans="1:2">
      <c r="A514" t="s">
        <v>1913</v>
      </c>
      <c r="B514">
        <v>1</v>
      </c>
    </row>
    <row r="515" spans="1:2">
      <c r="A515" t="s">
        <v>1914</v>
      </c>
      <c r="B515">
        <v>1</v>
      </c>
    </row>
    <row r="516" spans="1:2">
      <c r="A516" t="s">
        <v>1915</v>
      </c>
      <c r="B516">
        <v>1</v>
      </c>
    </row>
    <row r="517" spans="1:2">
      <c r="A517" t="s">
        <v>1916</v>
      </c>
      <c r="B517">
        <v>1</v>
      </c>
    </row>
    <row r="518" spans="1:2">
      <c r="A518" t="s">
        <v>1917</v>
      </c>
      <c r="B518">
        <v>1</v>
      </c>
    </row>
    <row r="519" spans="1:2">
      <c r="A519" t="s">
        <v>1918</v>
      </c>
      <c r="B519">
        <v>1</v>
      </c>
    </row>
    <row r="520" spans="1:2">
      <c r="A520" t="s">
        <v>1919</v>
      </c>
      <c r="B520">
        <v>1</v>
      </c>
    </row>
    <row r="521" spans="1:2">
      <c r="A521" t="s">
        <v>1920</v>
      </c>
      <c r="B521">
        <v>1</v>
      </c>
    </row>
    <row r="522" spans="1:2">
      <c r="A522" t="s">
        <v>1921</v>
      </c>
      <c r="B522">
        <v>1</v>
      </c>
    </row>
    <row r="523" spans="1:2">
      <c r="A523" t="s">
        <v>1922</v>
      </c>
      <c r="B523">
        <v>1</v>
      </c>
    </row>
    <row r="524" spans="1:2">
      <c r="A524" t="s">
        <v>1923</v>
      </c>
      <c r="B524">
        <v>1</v>
      </c>
    </row>
    <row r="525" spans="1:2">
      <c r="A525" t="s">
        <v>1924</v>
      </c>
      <c r="B525">
        <v>1</v>
      </c>
    </row>
    <row r="526" spans="1:2">
      <c r="A526" t="s">
        <v>1925</v>
      </c>
      <c r="B526">
        <v>1</v>
      </c>
    </row>
    <row r="527" spans="1:2">
      <c r="A527" t="s">
        <v>1926</v>
      </c>
      <c r="B527">
        <v>1</v>
      </c>
    </row>
    <row r="528" spans="1:2">
      <c r="A528" t="s">
        <v>1927</v>
      </c>
      <c r="B528">
        <v>1</v>
      </c>
    </row>
    <row r="529" spans="1:2">
      <c r="A529" t="s">
        <v>1928</v>
      </c>
      <c r="B529">
        <v>1</v>
      </c>
    </row>
    <row r="530" spans="1:2">
      <c r="A530" t="s">
        <v>1929</v>
      </c>
      <c r="B530">
        <v>1</v>
      </c>
    </row>
    <row r="531" spans="1:2">
      <c r="A531" t="s">
        <v>1930</v>
      </c>
      <c r="B531">
        <v>1</v>
      </c>
    </row>
    <row r="532" spans="1:2">
      <c r="A532" t="s">
        <v>1931</v>
      </c>
      <c r="B532">
        <v>1</v>
      </c>
    </row>
    <row r="533" spans="1:2">
      <c r="A533" t="s">
        <v>1932</v>
      </c>
      <c r="B533">
        <v>1</v>
      </c>
    </row>
    <row r="534" spans="1:2">
      <c r="A534" t="s">
        <v>1933</v>
      </c>
      <c r="B534">
        <v>1</v>
      </c>
    </row>
    <row r="535" spans="1:2">
      <c r="A535" t="s">
        <v>1934</v>
      </c>
      <c r="B535">
        <v>1</v>
      </c>
    </row>
    <row r="536" spans="1:2">
      <c r="A536" t="s">
        <v>1935</v>
      </c>
      <c r="B536">
        <v>1</v>
      </c>
    </row>
    <row r="537" spans="1:2">
      <c r="A537" t="s">
        <v>1936</v>
      </c>
      <c r="B537">
        <v>1</v>
      </c>
    </row>
    <row r="538" spans="1:2">
      <c r="A538" t="s">
        <v>1937</v>
      </c>
      <c r="B538">
        <v>1</v>
      </c>
    </row>
    <row r="539" spans="1:2">
      <c r="A539" t="s">
        <v>1938</v>
      </c>
      <c r="B539">
        <v>1</v>
      </c>
    </row>
    <row r="540" spans="1:2">
      <c r="A540" t="s">
        <v>1939</v>
      </c>
      <c r="B540">
        <v>1</v>
      </c>
    </row>
    <row r="541" spans="1:2">
      <c r="A541" t="s">
        <v>1940</v>
      </c>
      <c r="B541">
        <v>1</v>
      </c>
    </row>
    <row r="542" spans="1:2">
      <c r="A542" t="s">
        <v>1941</v>
      </c>
      <c r="B542">
        <v>1</v>
      </c>
    </row>
    <row r="543" spans="1:2">
      <c r="A543" t="s">
        <v>1942</v>
      </c>
      <c r="B543">
        <v>1</v>
      </c>
    </row>
    <row r="544" spans="1:2">
      <c r="A544" t="s">
        <v>1943</v>
      </c>
      <c r="B544">
        <v>1</v>
      </c>
    </row>
    <row r="545" spans="1:2">
      <c r="A545" t="s">
        <v>1944</v>
      </c>
      <c r="B545">
        <v>1</v>
      </c>
    </row>
    <row r="546" spans="1:2">
      <c r="A546" t="s">
        <v>1945</v>
      </c>
      <c r="B546">
        <v>1</v>
      </c>
    </row>
    <row r="547" spans="1:2">
      <c r="A547" t="s">
        <v>1946</v>
      </c>
      <c r="B547">
        <v>1</v>
      </c>
    </row>
    <row r="548" spans="1:2">
      <c r="A548" t="s">
        <v>1947</v>
      </c>
      <c r="B548">
        <v>1</v>
      </c>
    </row>
    <row r="549" spans="1:2">
      <c r="A549" t="s">
        <v>1948</v>
      </c>
      <c r="B549">
        <v>1</v>
      </c>
    </row>
    <row r="550" spans="1:2">
      <c r="A550" t="s">
        <v>1949</v>
      </c>
      <c r="B550">
        <v>1</v>
      </c>
    </row>
    <row r="551" spans="1:2">
      <c r="A551" t="s">
        <v>1950</v>
      </c>
      <c r="B551">
        <v>1</v>
      </c>
    </row>
    <row r="552" spans="1:2">
      <c r="A552" t="s">
        <v>1951</v>
      </c>
      <c r="B552">
        <v>1</v>
      </c>
    </row>
    <row r="553" spans="1:2">
      <c r="A553" t="s">
        <v>1952</v>
      </c>
      <c r="B553">
        <v>1</v>
      </c>
    </row>
    <row r="554" spans="1:2">
      <c r="A554" t="s">
        <v>1953</v>
      </c>
      <c r="B554">
        <v>1</v>
      </c>
    </row>
    <row r="555" spans="1:2">
      <c r="A555" t="s">
        <v>1954</v>
      </c>
      <c r="B555">
        <v>1</v>
      </c>
    </row>
    <row r="556" spans="1:2">
      <c r="A556" t="s">
        <v>1955</v>
      </c>
      <c r="B556">
        <v>1</v>
      </c>
    </row>
    <row r="557" spans="1:2">
      <c r="A557" t="s">
        <v>1956</v>
      </c>
      <c r="B557">
        <v>1</v>
      </c>
    </row>
    <row r="558" spans="1:2">
      <c r="A558" t="s">
        <v>1957</v>
      </c>
      <c r="B558">
        <v>1</v>
      </c>
    </row>
    <row r="559" spans="1:2">
      <c r="A559" t="s">
        <v>1958</v>
      </c>
      <c r="B559">
        <v>1</v>
      </c>
    </row>
    <row r="560" spans="1:2">
      <c r="A560" t="s">
        <v>1959</v>
      </c>
      <c r="B560">
        <v>1</v>
      </c>
    </row>
    <row r="561" spans="1:2">
      <c r="A561" t="s">
        <v>1960</v>
      </c>
      <c r="B561">
        <v>1</v>
      </c>
    </row>
    <row r="562" spans="1:2">
      <c r="A562" t="s">
        <v>1961</v>
      </c>
      <c r="B562">
        <v>1</v>
      </c>
    </row>
    <row r="563" spans="1:2">
      <c r="A563" t="s">
        <v>1962</v>
      </c>
      <c r="B563">
        <v>1</v>
      </c>
    </row>
    <row r="564" spans="1:2">
      <c r="A564" t="s">
        <v>1963</v>
      </c>
      <c r="B564">
        <v>1</v>
      </c>
    </row>
    <row r="565" spans="1:2">
      <c r="A565" t="s">
        <v>1964</v>
      </c>
      <c r="B565">
        <v>1</v>
      </c>
    </row>
    <row r="566" spans="1:2">
      <c r="A566" t="s">
        <v>1965</v>
      </c>
      <c r="B566">
        <v>1</v>
      </c>
    </row>
    <row r="567" spans="1:2">
      <c r="A567" t="s">
        <v>1966</v>
      </c>
      <c r="B567">
        <v>1</v>
      </c>
    </row>
    <row r="568" spans="1:2">
      <c r="A568" t="s">
        <v>1967</v>
      </c>
      <c r="B568">
        <v>1</v>
      </c>
    </row>
    <row r="569" spans="1:2">
      <c r="A569" t="s">
        <v>1968</v>
      </c>
      <c r="B569">
        <v>1</v>
      </c>
    </row>
    <row r="570" spans="1:2">
      <c r="A570" t="s">
        <v>1969</v>
      </c>
      <c r="B570">
        <v>1</v>
      </c>
    </row>
    <row r="571" spans="1:2">
      <c r="A571" t="s">
        <v>1970</v>
      </c>
      <c r="B571">
        <v>1</v>
      </c>
    </row>
    <row r="572" spans="1:2">
      <c r="A572" t="s">
        <v>1971</v>
      </c>
      <c r="B572">
        <v>1</v>
      </c>
    </row>
    <row r="573" spans="1:2">
      <c r="A573" t="s">
        <v>1972</v>
      </c>
      <c r="B573">
        <v>1</v>
      </c>
    </row>
    <row r="574" spans="1:2">
      <c r="A574" t="s">
        <v>1973</v>
      </c>
      <c r="B574">
        <v>1</v>
      </c>
    </row>
    <row r="575" spans="1:2">
      <c r="A575" t="s">
        <v>1974</v>
      </c>
      <c r="B575">
        <v>1</v>
      </c>
    </row>
    <row r="576" spans="1:2">
      <c r="A576" t="s">
        <v>1975</v>
      </c>
      <c r="B576">
        <v>1</v>
      </c>
    </row>
    <row r="577" spans="1:2">
      <c r="A577" t="s">
        <v>1976</v>
      </c>
      <c r="B577">
        <v>1</v>
      </c>
    </row>
    <row r="578" spans="1:2">
      <c r="A578" t="s">
        <v>1977</v>
      </c>
      <c r="B578">
        <v>1</v>
      </c>
    </row>
    <row r="579" spans="1:2">
      <c r="A579" t="s">
        <v>1978</v>
      </c>
      <c r="B579">
        <v>1</v>
      </c>
    </row>
    <row r="580" spans="1:2">
      <c r="A580" t="s">
        <v>1979</v>
      </c>
      <c r="B580">
        <v>1</v>
      </c>
    </row>
    <row r="581" spans="1:2">
      <c r="A581" t="s">
        <v>1980</v>
      </c>
      <c r="B581">
        <v>1</v>
      </c>
    </row>
    <row r="582" spans="1:2">
      <c r="A582" t="s">
        <v>1981</v>
      </c>
      <c r="B582">
        <v>1</v>
      </c>
    </row>
    <row r="583" spans="1:2">
      <c r="A583" t="s">
        <v>1982</v>
      </c>
      <c r="B583">
        <v>1</v>
      </c>
    </row>
    <row r="584" spans="1:2">
      <c r="A584" t="s">
        <v>1983</v>
      </c>
      <c r="B584">
        <v>1</v>
      </c>
    </row>
    <row r="585" spans="1:2">
      <c r="A585" t="s">
        <v>1984</v>
      </c>
      <c r="B585">
        <v>1</v>
      </c>
    </row>
    <row r="586" spans="1:2">
      <c r="A586" t="s">
        <v>1985</v>
      </c>
      <c r="B586">
        <v>1</v>
      </c>
    </row>
    <row r="587" spans="1:2">
      <c r="A587" t="s">
        <v>1986</v>
      </c>
      <c r="B587">
        <v>1</v>
      </c>
    </row>
    <row r="588" spans="1:2">
      <c r="A588" t="s">
        <v>1987</v>
      </c>
      <c r="B588">
        <v>1</v>
      </c>
    </row>
    <row r="589" spans="1:2">
      <c r="A589" t="s">
        <v>1988</v>
      </c>
      <c r="B589">
        <v>1</v>
      </c>
    </row>
    <row r="590" spans="1:2">
      <c r="A590" t="s">
        <v>1989</v>
      </c>
      <c r="B590">
        <v>1</v>
      </c>
    </row>
    <row r="591" spans="1:2">
      <c r="A591" t="s">
        <v>1990</v>
      </c>
      <c r="B591">
        <v>1</v>
      </c>
    </row>
    <row r="592" spans="1:2">
      <c r="A592" t="s">
        <v>1991</v>
      </c>
      <c r="B592">
        <v>1</v>
      </c>
    </row>
    <row r="593" spans="1:2">
      <c r="A593" t="s">
        <v>1992</v>
      </c>
      <c r="B593">
        <v>1</v>
      </c>
    </row>
    <row r="594" spans="1:2">
      <c r="A594" t="s">
        <v>1993</v>
      </c>
      <c r="B594">
        <v>1</v>
      </c>
    </row>
    <row r="595" spans="1:2">
      <c r="A595" t="s">
        <v>1994</v>
      </c>
      <c r="B595">
        <v>1</v>
      </c>
    </row>
    <row r="596" spans="1:2">
      <c r="A596" t="s">
        <v>1995</v>
      </c>
      <c r="B596">
        <v>1</v>
      </c>
    </row>
    <row r="597" spans="1:2">
      <c r="A597" t="s">
        <v>1996</v>
      </c>
      <c r="B597">
        <v>1</v>
      </c>
    </row>
    <row r="598" spans="1:2">
      <c r="A598" t="s">
        <v>1997</v>
      </c>
      <c r="B598">
        <v>1</v>
      </c>
    </row>
    <row r="599" spans="1:2">
      <c r="A599" t="s">
        <v>1998</v>
      </c>
      <c r="B599">
        <v>1</v>
      </c>
    </row>
    <row r="600" spans="1:2">
      <c r="A600" t="s">
        <v>1999</v>
      </c>
      <c r="B600">
        <v>1</v>
      </c>
    </row>
    <row r="601" spans="1:2">
      <c r="A601" t="s">
        <v>2000</v>
      </c>
      <c r="B601">
        <v>1</v>
      </c>
    </row>
    <row r="602" spans="1:2">
      <c r="A602" t="s">
        <v>2001</v>
      </c>
      <c r="B602">
        <v>1</v>
      </c>
    </row>
    <row r="603" spans="1:2">
      <c r="A603" t="s">
        <v>2002</v>
      </c>
      <c r="B603">
        <v>1</v>
      </c>
    </row>
    <row r="604" spans="1:2">
      <c r="A604" t="s">
        <v>2003</v>
      </c>
      <c r="B604">
        <v>1</v>
      </c>
    </row>
    <row r="605" spans="1:2">
      <c r="A605" t="s">
        <v>2004</v>
      </c>
      <c r="B605">
        <v>1</v>
      </c>
    </row>
    <row r="606" spans="1:2">
      <c r="A606" t="s">
        <v>2005</v>
      </c>
      <c r="B606">
        <v>1</v>
      </c>
    </row>
    <row r="607" spans="1:2">
      <c r="A607" t="s">
        <v>366</v>
      </c>
      <c r="B607">
        <v>0.15</v>
      </c>
    </row>
    <row r="608" spans="1:2">
      <c r="A608" t="s">
        <v>2006</v>
      </c>
      <c r="B608">
        <v>0.15</v>
      </c>
    </row>
    <row r="609" spans="1:2">
      <c r="A609" t="s">
        <v>2007</v>
      </c>
      <c r="B609">
        <v>0.2</v>
      </c>
    </row>
    <row r="610" spans="1:2">
      <c r="A610" t="s">
        <v>2008</v>
      </c>
      <c r="B610">
        <v>0.25</v>
      </c>
    </row>
    <row r="611" spans="1:2">
      <c r="A611" t="s">
        <v>2009</v>
      </c>
      <c r="B611">
        <v>1</v>
      </c>
    </row>
    <row r="612" spans="1:2">
      <c r="A612" t="s">
        <v>2010</v>
      </c>
      <c r="B612">
        <v>1</v>
      </c>
    </row>
    <row r="613" spans="1:2">
      <c r="A613" t="s">
        <v>2011</v>
      </c>
      <c r="B613">
        <v>1</v>
      </c>
    </row>
    <row r="614" spans="1:2">
      <c r="A614" t="s">
        <v>2012</v>
      </c>
      <c r="B614">
        <v>1</v>
      </c>
    </row>
    <row r="615" spans="1:2">
      <c r="A615" t="s">
        <v>2013</v>
      </c>
      <c r="B615">
        <v>1</v>
      </c>
    </row>
    <row r="616" spans="1:2">
      <c r="A616" t="s">
        <v>2014</v>
      </c>
      <c r="B616">
        <v>1</v>
      </c>
    </row>
    <row r="617" spans="1:2">
      <c r="A617" t="s">
        <v>2015</v>
      </c>
      <c r="B617">
        <v>1</v>
      </c>
    </row>
    <row r="618" spans="1:2">
      <c r="A618" t="s">
        <v>2016</v>
      </c>
      <c r="B618">
        <v>1</v>
      </c>
    </row>
    <row r="619" spans="1:2">
      <c r="A619" t="s">
        <v>2017</v>
      </c>
      <c r="B619">
        <v>1</v>
      </c>
    </row>
    <row r="620" spans="1:2">
      <c r="A620" t="s">
        <v>2018</v>
      </c>
      <c r="B620">
        <v>1</v>
      </c>
    </row>
    <row r="621" spans="1:2">
      <c r="A621" t="s">
        <v>2019</v>
      </c>
      <c r="B621">
        <v>1</v>
      </c>
    </row>
    <row r="622" spans="1:2">
      <c r="A622" t="s">
        <v>2020</v>
      </c>
      <c r="B622">
        <v>1</v>
      </c>
    </row>
    <row r="623" spans="1:2">
      <c r="A623" t="s">
        <v>2021</v>
      </c>
      <c r="B623">
        <v>0.7</v>
      </c>
    </row>
    <row r="624" spans="1:2">
      <c r="A624" t="s">
        <v>2022</v>
      </c>
      <c r="B624">
        <v>0.7</v>
      </c>
    </row>
    <row r="625" spans="1:2">
      <c r="A625" t="s">
        <v>2023</v>
      </c>
      <c r="B625">
        <v>0.7</v>
      </c>
    </row>
    <row r="626" spans="1:2">
      <c r="A626" t="s">
        <v>2024</v>
      </c>
      <c r="B626">
        <v>0.7</v>
      </c>
    </row>
    <row r="627" spans="1:2">
      <c r="A627" t="s">
        <v>2025</v>
      </c>
      <c r="B627">
        <v>0.7</v>
      </c>
    </row>
    <row r="628" spans="1:2">
      <c r="A628" t="s">
        <v>2026</v>
      </c>
      <c r="B628">
        <v>0.7</v>
      </c>
    </row>
    <row r="629" spans="1:2">
      <c r="A629" t="s">
        <v>2027</v>
      </c>
      <c r="B629">
        <v>0.7</v>
      </c>
    </row>
    <row r="630" spans="1:2">
      <c r="A630" t="s">
        <v>2028</v>
      </c>
      <c r="B630">
        <v>0.7</v>
      </c>
    </row>
    <row r="631" spans="1:2">
      <c r="A631" t="s">
        <v>2029</v>
      </c>
      <c r="B631">
        <v>0.7</v>
      </c>
    </row>
    <row r="632" spans="1:2">
      <c r="A632" t="s">
        <v>2030</v>
      </c>
      <c r="B632">
        <v>0.7</v>
      </c>
    </row>
    <row r="633" spans="1:2">
      <c r="A633" t="s">
        <v>2031</v>
      </c>
      <c r="B633">
        <v>0.7</v>
      </c>
    </row>
    <row r="634" spans="1:2">
      <c r="A634" t="s">
        <v>2032</v>
      </c>
      <c r="B634">
        <v>0.7</v>
      </c>
    </row>
    <row r="635" spans="1:2">
      <c r="A635" t="s">
        <v>2033</v>
      </c>
      <c r="B635">
        <v>0.7</v>
      </c>
    </row>
    <row r="636" spans="1:2">
      <c r="A636" t="s">
        <v>2034</v>
      </c>
      <c r="B636">
        <v>0.7</v>
      </c>
    </row>
    <row r="637" spans="1:2">
      <c r="A637" t="s">
        <v>2035</v>
      </c>
      <c r="B637">
        <v>0.7</v>
      </c>
    </row>
    <row r="638" spans="1:2">
      <c r="A638" t="s">
        <v>2036</v>
      </c>
      <c r="B638">
        <v>0.7</v>
      </c>
    </row>
    <row r="639" spans="1:2">
      <c r="A639" t="s">
        <v>2037</v>
      </c>
      <c r="B639">
        <v>0.7</v>
      </c>
    </row>
    <row r="640" spans="1:2">
      <c r="A640" t="s">
        <v>2038</v>
      </c>
      <c r="B640">
        <v>0.7</v>
      </c>
    </row>
    <row r="641" spans="1:2">
      <c r="A641" t="s">
        <v>2039</v>
      </c>
      <c r="B641">
        <v>0.7</v>
      </c>
    </row>
    <row r="642" spans="1:2">
      <c r="A642" t="s">
        <v>2040</v>
      </c>
      <c r="B642">
        <v>0.7</v>
      </c>
    </row>
    <row r="643" spans="1:2">
      <c r="A643" t="s">
        <v>2041</v>
      </c>
      <c r="B643">
        <v>0.7</v>
      </c>
    </row>
    <row r="644" spans="1:2">
      <c r="A644" t="s">
        <v>2042</v>
      </c>
      <c r="B644">
        <v>0.7</v>
      </c>
    </row>
    <row r="645" spans="1:2">
      <c r="A645" t="s">
        <v>2043</v>
      </c>
      <c r="B645">
        <v>0.7</v>
      </c>
    </row>
    <row r="646" spans="1:2">
      <c r="A646" t="s">
        <v>2044</v>
      </c>
      <c r="B646">
        <v>0.7</v>
      </c>
    </row>
    <row r="647" spans="1:2">
      <c r="A647" t="s">
        <v>2045</v>
      </c>
      <c r="B647">
        <v>0.7</v>
      </c>
    </row>
    <row r="648" spans="1:2">
      <c r="A648" t="s">
        <v>2046</v>
      </c>
      <c r="B648">
        <v>0.7</v>
      </c>
    </row>
    <row r="649" spans="1:2">
      <c r="A649" t="s">
        <v>2047</v>
      </c>
      <c r="B649">
        <v>0.7</v>
      </c>
    </row>
    <row r="650" spans="1:2">
      <c r="A650" t="s">
        <v>2048</v>
      </c>
      <c r="B650">
        <v>0.7</v>
      </c>
    </row>
    <row r="651" spans="1:2">
      <c r="A651" t="s">
        <v>2049</v>
      </c>
      <c r="B651">
        <v>0.7</v>
      </c>
    </row>
    <row r="652" spans="1:2">
      <c r="A652" t="s">
        <v>2050</v>
      </c>
      <c r="B652">
        <v>0.7</v>
      </c>
    </row>
    <row r="653" spans="1:2">
      <c r="A653" t="s">
        <v>2051</v>
      </c>
      <c r="B653">
        <v>0.7</v>
      </c>
    </row>
    <row r="654" spans="1:2">
      <c r="A654" t="s">
        <v>2052</v>
      </c>
      <c r="B654">
        <v>0.7</v>
      </c>
    </row>
    <row r="655" spans="1:2">
      <c r="A655" t="s">
        <v>2053</v>
      </c>
      <c r="B655">
        <v>0.7</v>
      </c>
    </row>
    <row r="656" spans="1:2">
      <c r="A656" t="s">
        <v>2054</v>
      </c>
      <c r="B656">
        <v>0.7</v>
      </c>
    </row>
    <row r="657" spans="1:2">
      <c r="A657" t="s">
        <v>2055</v>
      </c>
      <c r="B657">
        <v>0.7</v>
      </c>
    </row>
    <row r="658" spans="1:2">
      <c r="A658" t="s">
        <v>2056</v>
      </c>
      <c r="B658">
        <v>0.7</v>
      </c>
    </row>
    <row r="659" spans="1:2">
      <c r="A659" t="s">
        <v>2057</v>
      </c>
      <c r="B659">
        <v>0.7</v>
      </c>
    </row>
    <row r="660" spans="1:2">
      <c r="A660" t="s">
        <v>2058</v>
      </c>
      <c r="B660">
        <v>0.7</v>
      </c>
    </row>
    <row r="661" spans="1:2">
      <c r="A661" t="s">
        <v>2059</v>
      </c>
      <c r="B661">
        <v>0.7</v>
      </c>
    </row>
    <row r="662" spans="1:2">
      <c r="A662" t="s">
        <v>2060</v>
      </c>
      <c r="B662">
        <v>0.7</v>
      </c>
    </row>
    <row r="663" spans="1:2">
      <c r="A663" t="s">
        <v>2061</v>
      </c>
      <c r="B663">
        <v>0.7</v>
      </c>
    </row>
    <row r="664" spans="1:2">
      <c r="A664" t="s">
        <v>2062</v>
      </c>
      <c r="B664">
        <v>0.7</v>
      </c>
    </row>
    <row r="665" spans="1:2">
      <c r="A665" t="s">
        <v>2063</v>
      </c>
      <c r="B665">
        <v>0.7</v>
      </c>
    </row>
    <row r="666" spans="1:2">
      <c r="A666" t="s">
        <v>2064</v>
      </c>
      <c r="B666">
        <v>0.7</v>
      </c>
    </row>
    <row r="667" spans="1:2">
      <c r="A667" t="s">
        <v>2065</v>
      </c>
      <c r="B667">
        <v>0.7</v>
      </c>
    </row>
    <row r="668" spans="1:2">
      <c r="A668" t="s">
        <v>2066</v>
      </c>
      <c r="B668">
        <v>0.7</v>
      </c>
    </row>
    <row r="669" spans="1:2">
      <c r="A669" t="s">
        <v>2067</v>
      </c>
      <c r="B669">
        <v>0.7</v>
      </c>
    </row>
    <row r="670" spans="1:2">
      <c r="A670" t="s">
        <v>2068</v>
      </c>
      <c r="B670">
        <v>0.7</v>
      </c>
    </row>
    <row r="671" spans="1:2">
      <c r="A671" t="s">
        <v>2069</v>
      </c>
      <c r="B671">
        <v>0.7</v>
      </c>
    </row>
    <row r="672" spans="1:2">
      <c r="A672" t="s">
        <v>2070</v>
      </c>
      <c r="B672">
        <v>0.7</v>
      </c>
    </row>
    <row r="673" spans="1:2">
      <c r="A673" t="s">
        <v>2071</v>
      </c>
      <c r="B673">
        <v>0.7</v>
      </c>
    </row>
    <row r="674" spans="1:2">
      <c r="A674" t="s">
        <v>2072</v>
      </c>
      <c r="B674">
        <v>0.7</v>
      </c>
    </row>
    <row r="675" spans="1:2">
      <c r="A675" t="s">
        <v>2073</v>
      </c>
      <c r="B675">
        <v>0.7</v>
      </c>
    </row>
    <row r="676" spans="1:2">
      <c r="A676" t="s">
        <v>2074</v>
      </c>
      <c r="B676">
        <v>0.7</v>
      </c>
    </row>
    <row r="677" spans="1:2">
      <c r="A677" t="s">
        <v>2075</v>
      </c>
      <c r="B677">
        <v>0.7</v>
      </c>
    </row>
    <row r="678" spans="1:2">
      <c r="A678" t="s">
        <v>2076</v>
      </c>
      <c r="B678">
        <v>0.7</v>
      </c>
    </row>
    <row r="679" spans="1:2">
      <c r="A679" t="s">
        <v>2077</v>
      </c>
      <c r="B679">
        <v>0.7</v>
      </c>
    </row>
    <row r="680" spans="1:2">
      <c r="A680" t="s">
        <v>2078</v>
      </c>
      <c r="B680">
        <v>0.7</v>
      </c>
    </row>
    <row r="681" spans="1:2">
      <c r="A681" t="s">
        <v>2079</v>
      </c>
      <c r="B681">
        <v>0.7</v>
      </c>
    </row>
    <row r="682" spans="1:2">
      <c r="A682" t="s">
        <v>2080</v>
      </c>
      <c r="B682">
        <v>0.7</v>
      </c>
    </row>
    <row r="683" spans="1:2">
      <c r="A683" t="s">
        <v>2081</v>
      </c>
      <c r="B683">
        <v>0.7</v>
      </c>
    </row>
    <row r="684" spans="1:2">
      <c r="A684" t="s">
        <v>2082</v>
      </c>
      <c r="B684">
        <v>0.7</v>
      </c>
    </row>
    <row r="685" spans="1:2">
      <c r="A685" t="s">
        <v>2083</v>
      </c>
      <c r="B685">
        <v>0.7</v>
      </c>
    </row>
    <row r="686" spans="1:2">
      <c r="A686" t="s">
        <v>2084</v>
      </c>
      <c r="B686">
        <v>0.7</v>
      </c>
    </row>
    <row r="687" spans="1:2">
      <c r="A687" t="s">
        <v>2085</v>
      </c>
      <c r="B687">
        <v>0.7</v>
      </c>
    </row>
    <row r="688" spans="1:2">
      <c r="A688" t="s">
        <v>2086</v>
      </c>
      <c r="B688">
        <v>0.7</v>
      </c>
    </row>
    <row r="689" spans="1:2">
      <c r="A689" t="s">
        <v>2087</v>
      </c>
      <c r="B689">
        <v>0.7</v>
      </c>
    </row>
    <row r="690" spans="1:2">
      <c r="A690" t="s">
        <v>2088</v>
      </c>
      <c r="B690">
        <v>0.7</v>
      </c>
    </row>
    <row r="691" spans="1:2">
      <c r="A691" t="s">
        <v>2089</v>
      </c>
      <c r="B691">
        <v>0.7</v>
      </c>
    </row>
    <row r="692" spans="1:2">
      <c r="A692" t="s">
        <v>2090</v>
      </c>
      <c r="B692">
        <v>0.7</v>
      </c>
    </row>
    <row r="693" spans="1:2">
      <c r="A693" t="s">
        <v>2091</v>
      </c>
      <c r="B693">
        <v>0.7</v>
      </c>
    </row>
    <row r="694" spans="1:2">
      <c r="A694" t="s">
        <v>2092</v>
      </c>
      <c r="B694">
        <v>0.7</v>
      </c>
    </row>
    <row r="695" spans="1:2">
      <c r="A695" t="s">
        <v>2093</v>
      </c>
      <c r="B695">
        <v>0.7</v>
      </c>
    </row>
    <row r="696" spans="1:2">
      <c r="A696" t="s">
        <v>2094</v>
      </c>
      <c r="B696">
        <v>0.7</v>
      </c>
    </row>
    <row r="697" spans="1:2">
      <c r="A697" t="s">
        <v>2095</v>
      </c>
      <c r="B697">
        <v>0.7</v>
      </c>
    </row>
    <row r="698" spans="1:2">
      <c r="A698" t="s">
        <v>2096</v>
      </c>
      <c r="B698">
        <v>0.7</v>
      </c>
    </row>
    <row r="699" spans="1:2">
      <c r="A699" t="s">
        <v>2097</v>
      </c>
      <c r="B699">
        <v>0.7</v>
      </c>
    </row>
    <row r="700" spans="1:2">
      <c r="A700" t="s">
        <v>2098</v>
      </c>
      <c r="B700">
        <v>0.7</v>
      </c>
    </row>
    <row r="701" spans="1:2">
      <c r="A701" t="s">
        <v>2099</v>
      </c>
      <c r="B701">
        <v>0.7</v>
      </c>
    </row>
    <row r="702" spans="1:2">
      <c r="A702" t="s">
        <v>2100</v>
      </c>
      <c r="B702">
        <v>0.7</v>
      </c>
    </row>
    <row r="703" spans="1:2">
      <c r="A703" t="s">
        <v>2101</v>
      </c>
      <c r="B703">
        <v>0.7</v>
      </c>
    </row>
    <row r="704" spans="1:2">
      <c r="A704" t="s">
        <v>2102</v>
      </c>
      <c r="B704">
        <v>0.7</v>
      </c>
    </row>
    <row r="705" spans="1:2">
      <c r="A705" t="s">
        <v>2103</v>
      </c>
      <c r="B705">
        <v>0.7</v>
      </c>
    </row>
    <row r="706" spans="1:2">
      <c r="A706" t="s">
        <v>2104</v>
      </c>
      <c r="B706">
        <v>0.7</v>
      </c>
    </row>
    <row r="707" spans="1:2">
      <c r="A707" t="s">
        <v>2105</v>
      </c>
      <c r="B707">
        <v>0.7</v>
      </c>
    </row>
    <row r="708" spans="1:2">
      <c r="A708" t="s">
        <v>2106</v>
      </c>
      <c r="B708">
        <v>0.7</v>
      </c>
    </row>
    <row r="709" spans="1:2">
      <c r="A709" t="s">
        <v>2107</v>
      </c>
      <c r="B709">
        <v>0.7</v>
      </c>
    </row>
    <row r="710" spans="1:2">
      <c r="A710" t="s">
        <v>2108</v>
      </c>
      <c r="B710">
        <v>0.7</v>
      </c>
    </row>
    <row r="711" spans="1:2">
      <c r="A711" t="s">
        <v>2109</v>
      </c>
      <c r="B711">
        <v>0.7</v>
      </c>
    </row>
    <row r="712" spans="1:2">
      <c r="A712" t="s">
        <v>2110</v>
      </c>
      <c r="B712">
        <v>0.7</v>
      </c>
    </row>
    <row r="713" spans="1:2">
      <c r="A713" t="s">
        <v>2111</v>
      </c>
      <c r="B713">
        <v>0.7</v>
      </c>
    </row>
    <row r="714" spans="1:2">
      <c r="A714" t="s">
        <v>2112</v>
      </c>
      <c r="B714">
        <v>0.7</v>
      </c>
    </row>
    <row r="715" spans="1:2">
      <c r="A715" t="s">
        <v>2113</v>
      </c>
      <c r="B715">
        <v>0.7</v>
      </c>
    </row>
    <row r="716" spans="1:2">
      <c r="A716" t="s">
        <v>2114</v>
      </c>
      <c r="B716">
        <v>0.7</v>
      </c>
    </row>
    <row r="717" spans="1:2">
      <c r="A717" t="s">
        <v>2115</v>
      </c>
      <c r="B717">
        <v>0.7</v>
      </c>
    </row>
    <row r="718" spans="1:2">
      <c r="A718" t="s">
        <v>2116</v>
      </c>
      <c r="B718">
        <v>0.7</v>
      </c>
    </row>
    <row r="719" spans="1:2">
      <c r="A719" t="s">
        <v>2117</v>
      </c>
      <c r="B719">
        <v>0.7</v>
      </c>
    </row>
    <row r="720" spans="1:2">
      <c r="A720" t="s">
        <v>2118</v>
      </c>
      <c r="B720">
        <v>0.7</v>
      </c>
    </row>
    <row r="721" spans="1:2">
      <c r="A721" t="s">
        <v>2119</v>
      </c>
      <c r="B721">
        <v>0.7</v>
      </c>
    </row>
    <row r="722" spans="1:2">
      <c r="A722" t="s">
        <v>2120</v>
      </c>
      <c r="B722">
        <v>0.7</v>
      </c>
    </row>
    <row r="723" spans="1:2">
      <c r="A723" t="s">
        <v>2121</v>
      </c>
      <c r="B723">
        <v>0.7</v>
      </c>
    </row>
    <row r="724" spans="1:2">
      <c r="A724" t="s">
        <v>2122</v>
      </c>
      <c r="B724">
        <v>0.7</v>
      </c>
    </row>
    <row r="725" spans="1:2">
      <c r="A725" t="s">
        <v>2123</v>
      </c>
      <c r="B725">
        <v>0.7</v>
      </c>
    </row>
    <row r="726" spans="1:2">
      <c r="A726" t="s">
        <v>2124</v>
      </c>
      <c r="B726">
        <v>0.7</v>
      </c>
    </row>
    <row r="727" spans="1:2">
      <c r="A727" t="s">
        <v>2125</v>
      </c>
      <c r="B727">
        <v>0.7</v>
      </c>
    </row>
    <row r="728" spans="1:2">
      <c r="A728" t="s">
        <v>2126</v>
      </c>
      <c r="B728">
        <v>0.7</v>
      </c>
    </row>
    <row r="729" spans="1:2">
      <c r="A729" t="s">
        <v>2127</v>
      </c>
      <c r="B729">
        <v>0.7</v>
      </c>
    </row>
    <row r="730" spans="1:2">
      <c r="A730" t="s">
        <v>2128</v>
      </c>
      <c r="B730">
        <v>0.7</v>
      </c>
    </row>
    <row r="731" spans="1:2">
      <c r="A731" t="s">
        <v>2129</v>
      </c>
      <c r="B731">
        <v>0.7</v>
      </c>
    </row>
    <row r="732" spans="1:2">
      <c r="A732" t="s">
        <v>2130</v>
      </c>
      <c r="B732">
        <v>0.7</v>
      </c>
    </row>
    <row r="733" spans="1:2">
      <c r="A733" t="s">
        <v>2131</v>
      </c>
      <c r="B733">
        <v>0.7</v>
      </c>
    </row>
    <row r="734" spans="1:2">
      <c r="A734" t="s">
        <v>2132</v>
      </c>
      <c r="B734">
        <v>0.7</v>
      </c>
    </row>
    <row r="735" spans="1:2">
      <c r="A735" t="s">
        <v>2133</v>
      </c>
      <c r="B735">
        <v>0.7</v>
      </c>
    </row>
    <row r="736" spans="1:2">
      <c r="A736" t="s">
        <v>2134</v>
      </c>
      <c r="B736">
        <v>0.7</v>
      </c>
    </row>
    <row r="737" spans="1:2">
      <c r="A737" t="s">
        <v>2135</v>
      </c>
      <c r="B737">
        <v>0.7</v>
      </c>
    </row>
    <row r="738" spans="1:2">
      <c r="A738" t="s">
        <v>2136</v>
      </c>
      <c r="B738">
        <v>0.7</v>
      </c>
    </row>
    <row r="739" spans="1:2">
      <c r="A739" t="s">
        <v>2137</v>
      </c>
      <c r="B739">
        <v>0.7</v>
      </c>
    </row>
    <row r="740" spans="1:2">
      <c r="A740" t="s">
        <v>2138</v>
      </c>
      <c r="B740">
        <v>0.7</v>
      </c>
    </row>
    <row r="741" spans="1:2">
      <c r="A741" t="s">
        <v>2139</v>
      </c>
      <c r="B741">
        <v>0.7</v>
      </c>
    </row>
    <row r="742" spans="1:2">
      <c r="A742" t="s">
        <v>2140</v>
      </c>
      <c r="B742">
        <v>0.7</v>
      </c>
    </row>
    <row r="743" spans="1:2">
      <c r="A743" t="s">
        <v>2141</v>
      </c>
      <c r="B743">
        <v>0.7</v>
      </c>
    </row>
    <row r="744" spans="1:2">
      <c r="A744" t="s">
        <v>2142</v>
      </c>
      <c r="B744">
        <v>0.7</v>
      </c>
    </row>
    <row r="745" spans="1:2">
      <c r="A745" t="s">
        <v>2143</v>
      </c>
      <c r="B745">
        <v>0.7</v>
      </c>
    </row>
    <row r="746" spans="1:2">
      <c r="A746" t="s">
        <v>2144</v>
      </c>
      <c r="B746">
        <v>0.7</v>
      </c>
    </row>
    <row r="747" spans="1:2">
      <c r="A747" t="s">
        <v>2145</v>
      </c>
      <c r="B747">
        <v>0.7</v>
      </c>
    </row>
    <row r="748" spans="1:2">
      <c r="A748" t="s">
        <v>2146</v>
      </c>
      <c r="B748">
        <v>0.7</v>
      </c>
    </row>
    <row r="749" spans="1:2">
      <c r="A749" t="s">
        <v>2147</v>
      </c>
      <c r="B749">
        <v>0.7</v>
      </c>
    </row>
    <row r="750" spans="1:2">
      <c r="A750" t="s">
        <v>2148</v>
      </c>
      <c r="B750">
        <v>0.7</v>
      </c>
    </row>
    <row r="751" spans="1:2">
      <c r="A751" t="s">
        <v>2149</v>
      </c>
      <c r="B751">
        <v>0.7</v>
      </c>
    </row>
    <row r="752" spans="1:2">
      <c r="A752" t="s">
        <v>2150</v>
      </c>
      <c r="B752">
        <v>0.7</v>
      </c>
    </row>
    <row r="753" spans="1:2">
      <c r="A753" t="s">
        <v>2151</v>
      </c>
      <c r="B753">
        <v>0.7</v>
      </c>
    </row>
    <row r="754" spans="1:2">
      <c r="A754" t="s">
        <v>2152</v>
      </c>
      <c r="B754">
        <v>0.7</v>
      </c>
    </row>
    <row r="755" spans="1:2">
      <c r="A755" t="s">
        <v>2153</v>
      </c>
      <c r="B755">
        <v>0.7</v>
      </c>
    </row>
    <row r="756" spans="1:2">
      <c r="A756" t="s">
        <v>2154</v>
      </c>
      <c r="B756">
        <v>0.7</v>
      </c>
    </row>
    <row r="757" spans="1:2">
      <c r="A757" t="s">
        <v>2155</v>
      </c>
      <c r="B757">
        <v>0.7</v>
      </c>
    </row>
    <row r="758" spans="1:2">
      <c r="A758" t="s">
        <v>2156</v>
      </c>
      <c r="B758">
        <v>0.7</v>
      </c>
    </row>
    <row r="759" spans="1:2">
      <c r="A759" t="s">
        <v>2157</v>
      </c>
      <c r="B759">
        <v>0.7</v>
      </c>
    </row>
    <row r="760" spans="1:2">
      <c r="A760" t="s">
        <v>2158</v>
      </c>
      <c r="B760">
        <v>0.7</v>
      </c>
    </row>
    <row r="761" spans="1:2">
      <c r="A761" t="s">
        <v>2159</v>
      </c>
      <c r="B761">
        <v>0.7</v>
      </c>
    </row>
    <row r="762" spans="1:2">
      <c r="A762" t="s">
        <v>2160</v>
      </c>
      <c r="B762">
        <v>0.7</v>
      </c>
    </row>
    <row r="763" spans="1:2">
      <c r="A763" t="s">
        <v>2161</v>
      </c>
      <c r="B763">
        <v>0.7</v>
      </c>
    </row>
    <row r="764" spans="1:2">
      <c r="A764" t="s">
        <v>2162</v>
      </c>
      <c r="B764">
        <v>0.7</v>
      </c>
    </row>
    <row r="765" spans="1:2">
      <c r="A765" t="s">
        <v>2163</v>
      </c>
      <c r="B765">
        <v>0.7</v>
      </c>
    </row>
    <row r="766" spans="1:2">
      <c r="A766" t="s">
        <v>2164</v>
      </c>
      <c r="B766">
        <v>0.7</v>
      </c>
    </row>
    <row r="767" spans="1:2">
      <c r="A767" t="s">
        <v>2165</v>
      </c>
      <c r="B767">
        <v>0.7</v>
      </c>
    </row>
    <row r="768" spans="1:2">
      <c r="A768" t="s">
        <v>2166</v>
      </c>
      <c r="B768">
        <v>0.7</v>
      </c>
    </row>
    <row r="769" spans="1:2">
      <c r="A769" t="s">
        <v>2167</v>
      </c>
      <c r="B769">
        <v>0.7</v>
      </c>
    </row>
    <row r="770" spans="1:2">
      <c r="A770" t="s">
        <v>2168</v>
      </c>
      <c r="B770">
        <v>0.7</v>
      </c>
    </row>
    <row r="771" spans="1:2">
      <c r="A771" t="s">
        <v>2169</v>
      </c>
      <c r="B771">
        <v>0.7</v>
      </c>
    </row>
    <row r="772" spans="1:2">
      <c r="A772" t="s">
        <v>2170</v>
      </c>
      <c r="B772">
        <v>0.7</v>
      </c>
    </row>
    <row r="773" spans="1:2">
      <c r="A773" t="s">
        <v>2171</v>
      </c>
      <c r="B773">
        <v>0.7</v>
      </c>
    </row>
    <row r="774" spans="1:2">
      <c r="A774" t="s">
        <v>2172</v>
      </c>
      <c r="B774">
        <v>0.7</v>
      </c>
    </row>
    <row r="775" spans="1:2">
      <c r="A775" t="s">
        <v>2173</v>
      </c>
      <c r="B775">
        <v>0.7</v>
      </c>
    </row>
    <row r="776" spans="1:2">
      <c r="A776" t="s">
        <v>2174</v>
      </c>
      <c r="B776">
        <v>0.7</v>
      </c>
    </row>
    <row r="777" spans="1:2">
      <c r="A777" t="s">
        <v>2175</v>
      </c>
      <c r="B777">
        <v>0.7</v>
      </c>
    </row>
    <row r="778" spans="1:2">
      <c r="A778" t="s">
        <v>2176</v>
      </c>
      <c r="B778">
        <v>0.7</v>
      </c>
    </row>
    <row r="779" spans="1:2">
      <c r="A779" t="s">
        <v>2177</v>
      </c>
      <c r="B779">
        <v>0.7</v>
      </c>
    </row>
    <row r="780" spans="1:2">
      <c r="A780" t="s">
        <v>2178</v>
      </c>
      <c r="B780">
        <v>0.7</v>
      </c>
    </row>
    <row r="781" spans="1:2">
      <c r="A781" t="s">
        <v>2179</v>
      </c>
      <c r="B781">
        <v>0.7</v>
      </c>
    </row>
    <row r="782" spans="1:2">
      <c r="A782" t="s">
        <v>2180</v>
      </c>
      <c r="B782">
        <v>0.7</v>
      </c>
    </row>
    <row r="783" spans="1:2">
      <c r="A783" t="s">
        <v>2181</v>
      </c>
      <c r="B783">
        <v>0.7</v>
      </c>
    </row>
    <row r="784" spans="1:2">
      <c r="A784" t="s">
        <v>2182</v>
      </c>
      <c r="B784">
        <v>0.7</v>
      </c>
    </row>
    <row r="785" spans="1:2">
      <c r="A785" t="s">
        <v>2183</v>
      </c>
      <c r="B785">
        <v>0.7</v>
      </c>
    </row>
    <row r="786" spans="1:2">
      <c r="A786" t="s">
        <v>2184</v>
      </c>
      <c r="B786">
        <v>0.7</v>
      </c>
    </row>
    <row r="787" spans="1:2">
      <c r="A787" t="s">
        <v>2185</v>
      </c>
      <c r="B787">
        <v>0.7</v>
      </c>
    </row>
    <row r="788" spans="1:2">
      <c r="A788" t="s">
        <v>2186</v>
      </c>
      <c r="B788">
        <v>0.7</v>
      </c>
    </row>
    <row r="789" spans="1:2">
      <c r="A789" t="s">
        <v>2187</v>
      </c>
      <c r="B789">
        <v>0.7</v>
      </c>
    </row>
    <row r="790" spans="1:2">
      <c r="A790" t="s">
        <v>2188</v>
      </c>
      <c r="B790">
        <v>0.7</v>
      </c>
    </row>
    <row r="791" spans="1:2">
      <c r="A791" t="s">
        <v>2189</v>
      </c>
      <c r="B791">
        <v>0.7</v>
      </c>
    </row>
    <row r="792" spans="1:2">
      <c r="A792" t="s">
        <v>2190</v>
      </c>
      <c r="B792">
        <v>0.7</v>
      </c>
    </row>
    <row r="793" spans="1:2">
      <c r="A793" t="s">
        <v>2191</v>
      </c>
      <c r="B793">
        <v>0.7</v>
      </c>
    </row>
    <row r="794" spans="1:2">
      <c r="A794" t="s">
        <v>2192</v>
      </c>
      <c r="B794">
        <v>0.7</v>
      </c>
    </row>
    <row r="795" spans="1:2">
      <c r="A795" t="s">
        <v>2193</v>
      </c>
      <c r="B795">
        <v>0.7</v>
      </c>
    </row>
    <row r="796" spans="1:2">
      <c r="A796" t="s">
        <v>2194</v>
      </c>
      <c r="B796">
        <v>0.7</v>
      </c>
    </row>
    <row r="797" spans="1:2">
      <c r="A797" t="s">
        <v>2195</v>
      </c>
      <c r="B797">
        <v>0.7</v>
      </c>
    </row>
    <row r="798" spans="1:2">
      <c r="A798" t="s">
        <v>2196</v>
      </c>
      <c r="B798">
        <v>0.7</v>
      </c>
    </row>
    <row r="799" spans="1:2">
      <c r="A799" t="s">
        <v>2197</v>
      </c>
      <c r="B799">
        <v>0.7</v>
      </c>
    </row>
    <row r="800" spans="1:2">
      <c r="A800" t="s">
        <v>2198</v>
      </c>
      <c r="B800">
        <v>0.7</v>
      </c>
    </row>
    <row r="801" spans="1:2">
      <c r="A801" t="s">
        <v>2199</v>
      </c>
      <c r="B801">
        <v>0.7</v>
      </c>
    </row>
    <row r="802" spans="1:2">
      <c r="A802" t="s">
        <v>2200</v>
      </c>
      <c r="B802">
        <v>0.7</v>
      </c>
    </row>
    <row r="803" spans="1:2">
      <c r="A803" t="s">
        <v>2201</v>
      </c>
      <c r="B803">
        <v>0.7</v>
      </c>
    </row>
    <row r="804" spans="1:2">
      <c r="A804" t="s">
        <v>2202</v>
      </c>
      <c r="B804">
        <v>0.7</v>
      </c>
    </row>
    <row r="805" spans="1:2">
      <c r="A805" t="s">
        <v>2203</v>
      </c>
      <c r="B805">
        <v>0.7</v>
      </c>
    </row>
    <row r="806" spans="1:2">
      <c r="A806" t="s">
        <v>2204</v>
      </c>
      <c r="B806">
        <v>0.7</v>
      </c>
    </row>
    <row r="807" spans="1:2">
      <c r="A807" t="s">
        <v>2205</v>
      </c>
      <c r="B807">
        <v>0.7</v>
      </c>
    </row>
    <row r="808" spans="1:2">
      <c r="A808" t="s">
        <v>369</v>
      </c>
      <c r="B808">
        <v>0.15</v>
      </c>
    </row>
    <row r="809" spans="1:2">
      <c r="A809" t="s">
        <v>2206</v>
      </c>
      <c r="B809">
        <v>0.2</v>
      </c>
    </row>
    <row r="810" spans="1:2">
      <c r="A810" t="s">
        <v>2207</v>
      </c>
      <c r="B810">
        <v>0.25</v>
      </c>
    </row>
    <row r="811" spans="1:2">
      <c r="A811" t="s">
        <v>2208</v>
      </c>
      <c r="B811">
        <v>1</v>
      </c>
    </row>
    <row r="812" spans="1:2">
      <c r="A812" t="s">
        <v>2208</v>
      </c>
      <c r="B812">
        <v>1</v>
      </c>
    </row>
    <row r="813" spans="1:2">
      <c r="A813" t="s">
        <v>2209</v>
      </c>
      <c r="B813">
        <v>1</v>
      </c>
    </row>
    <row r="814" spans="1:2">
      <c r="A814" t="s">
        <v>2210</v>
      </c>
      <c r="B814">
        <v>1</v>
      </c>
    </row>
    <row r="815" spans="1:2">
      <c r="A815" t="s">
        <v>2211</v>
      </c>
      <c r="B815">
        <v>1</v>
      </c>
    </row>
    <row r="816" spans="1:2">
      <c r="A816" t="s">
        <v>2212</v>
      </c>
      <c r="B816">
        <v>1</v>
      </c>
    </row>
    <row r="817" spans="1:2">
      <c r="A817" t="s">
        <v>2213</v>
      </c>
      <c r="B817">
        <v>1</v>
      </c>
    </row>
    <row r="818" spans="1:2">
      <c r="A818" t="s">
        <v>2214</v>
      </c>
      <c r="B818">
        <v>1</v>
      </c>
    </row>
    <row r="819" spans="1:2">
      <c r="A819" t="s">
        <v>2215</v>
      </c>
      <c r="B819">
        <v>1</v>
      </c>
    </row>
    <row r="820" spans="1:2">
      <c r="A820" t="s">
        <v>2216</v>
      </c>
      <c r="B820">
        <v>1</v>
      </c>
    </row>
    <row r="821" spans="1:2">
      <c r="A821" t="s">
        <v>2217</v>
      </c>
      <c r="B821">
        <v>1</v>
      </c>
    </row>
    <row r="822" spans="1:2">
      <c r="A822" t="s">
        <v>2218</v>
      </c>
      <c r="B822">
        <v>1</v>
      </c>
    </row>
    <row r="823" spans="1:2">
      <c r="A823" t="s">
        <v>2219</v>
      </c>
      <c r="B823">
        <v>1</v>
      </c>
    </row>
    <row r="824" spans="1:2">
      <c r="A824" t="s">
        <v>2220</v>
      </c>
      <c r="B824">
        <v>1</v>
      </c>
    </row>
    <row r="825" spans="1:2">
      <c r="A825" t="s">
        <v>2221</v>
      </c>
      <c r="B825">
        <v>0.5</v>
      </c>
    </row>
    <row r="826" spans="1:2">
      <c r="A826" t="s">
        <v>2222</v>
      </c>
      <c r="B826">
        <v>0.5</v>
      </c>
    </row>
    <row r="827" spans="1:2">
      <c r="A827" t="s">
        <v>2223</v>
      </c>
      <c r="B827">
        <v>0.5</v>
      </c>
    </row>
    <row r="828" spans="1:2">
      <c r="A828" t="s">
        <v>2224</v>
      </c>
      <c r="B828">
        <v>0.5</v>
      </c>
    </row>
    <row r="829" spans="1:2">
      <c r="A829" t="s">
        <v>2225</v>
      </c>
      <c r="B829">
        <v>0.5</v>
      </c>
    </row>
    <row r="830" spans="1:2">
      <c r="A830" t="s">
        <v>2226</v>
      </c>
      <c r="B830">
        <v>0.5</v>
      </c>
    </row>
    <row r="831" spans="1:2">
      <c r="A831" t="s">
        <v>2227</v>
      </c>
      <c r="B831">
        <v>0.5</v>
      </c>
    </row>
    <row r="832" spans="1:2">
      <c r="A832" t="s">
        <v>2228</v>
      </c>
      <c r="B832">
        <v>0.5</v>
      </c>
    </row>
    <row r="833" spans="1:2">
      <c r="A833" t="s">
        <v>2229</v>
      </c>
      <c r="B833">
        <v>0.5</v>
      </c>
    </row>
    <row r="834" spans="1:2">
      <c r="A834" t="s">
        <v>2230</v>
      </c>
      <c r="B834">
        <v>0.5</v>
      </c>
    </row>
    <row r="835" spans="1:2">
      <c r="A835" t="s">
        <v>2231</v>
      </c>
      <c r="B835">
        <v>0.5</v>
      </c>
    </row>
    <row r="836" spans="1:2">
      <c r="A836" t="s">
        <v>2232</v>
      </c>
      <c r="B836">
        <v>0.5</v>
      </c>
    </row>
    <row r="837" spans="1:2">
      <c r="A837" t="s">
        <v>2233</v>
      </c>
      <c r="B837">
        <v>0.5</v>
      </c>
    </row>
    <row r="838" spans="1:2">
      <c r="A838" t="s">
        <v>2234</v>
      </c>
      <c r="B838">
        <v>0.5</v>
      </c>
    </row>
    <row r="839" spans="1:2">
      <c r="A839" t="s">
        <v>2235</v>
      </c>
      <c r="B839">
        <v>0.5</v>
      </c>
    </row>
    <row r="840" spans="1:2">
      <c r="A840" t="s">
        <v>2236</v>
      </c>
      <c r="B840">
        <v>0.5</v>
      </c>
    </row>
    <row r="841" spans="1:2">
      <c r="A841" t="s">
        <v>2237</v>
      </c>
      <c r="B841">
        <v>0.5</v>
      </c>
    </row>
    <row r="842" spans="1:2">
      <c r="A842" t="s">
        <v>2238</v>
      </c>
      <c r="B842">
        <v>0.5</v>
      </c>
    </row>
    <row r="843" spans="1:2">
      <c r="A843" t="s">
        <v>2239</v>
      </c>
      <c r="B843">
        <v>0.5</v>
      </c>
    </row>
    <row r="844" spans="1:2">
      <c r="A844" t="s">
        <v>2240</v>
      </c>
      <c r="B844">
        <v>0.5</v>
      </c>
    </row>
    <row r="845" spans="1:2">
      <c r="A845" t="s">
        <v>2241</v>
      </c>
      <c r="B845">
        <v>0.5</v>
      </c>
    </row>
    <row r="846" spans="1:2">
      <c r="A846" t="s">
        <v>2242</v>
      </c>
      <c r="B846">
        <v>0.5</v>
      </c>
    </row>
    <row r="847" spans="1:2">
      <c r="A847" t="s">
        <v>2243</v>
      </c>
      <c r="B847">
        <v>0.5</v>
      </c>
    </row>
    <row r="848" spans="1:2">
      <c r="A848" t="s">
        <v>2244</v>
      </c>
      <c r="B848">
        <v>0.5</v>
      </c>
    </row>
    <row r="849" spans="1:2">
      <c r="A849" t="s">
        <v>2245</v>
      </c>
      <c r="B849">
        <v>0.5</v>
      </c>
    </row>
    <row r="850" spans="1:2">
      <c r="A850" t="s">
        <v>2246</v>
      </c>
      <c r="B850">
        <v>0.5</v>
      </c>
    </row>
    <row r="851" spans="1:2">
      <c r="A851" t="s">
        <v>2247</v>
      </c>
      <c r="B851">
        <v>0.5</v>
      </c>
    </row>
    <row r="852" spans="1:2">
      <c r="A852" t="s">
        <v>2248</v>
      </c>
      <c r="B852">
        <v>0.5</v>
      </c>
    </row>
    <row r="853" spans="1:2">
      <c r="A853" t="s">
        <v>2249</v>
      </c>
      <c r="B853">
        <v>0.5</v>
      </c>
    </row>
    <row r="854" spans="1:2">
      <c r="A854" t="s">
        <v>2250</v>
      </c>
      <c r="B854">
        <v>0.5</v>
      </c>
    </row>
    <row r="855" spans="1:2">
      <c r="A855" t="s">
        <v>2251</v>
      </c>
      <c r="B855">
        <v>0.5</v>
      </c>
    </row>
    <row r="856" spans="1:2">
      <c r="A856" t="s">
        <v>2252</v>
      </c>
      <c r="B856">
        <v>0.5</v>
      </c>
    </row>
    <row r="857" spans="1:2">
      <c r="A857" t="s">
        <v>2253</v>
      </c>
      <c r="B857">
        <v>0.5</v>
      </c>
    </row>
    <row r="858" spans="1:2">
      <c r="A858" t="s">
        <v>2254</v>
      </c>
      <c r="B858">
        <v>0.5</v>
      </c>
    </row>
    <row r="859" spans="1:2">
      <c r="A859" t="s">
        <v>2255</v>
      </c>
      <c r="B859">
        <v>0.5</v>
      </c>
    </row>
    <row r="860" spans="1:2">
      <c r="A860" t="s">
        <v>2256</v>
      </c>
      <c r="B860">
        <v>0.5</v>
      </c>
    </row>
    <row r="861" spans="1:2">
      <c r="A861" t="s">
        <v>2257</v>
      </c>
      <c r="B861">
        <v>0.5</v>
      </c>
    </row>
    <row r="862" spans="1:2">
      <c r="A862" t="s">
        <v>2258</v>
      </c>
      <c r="B862">
        <v>0.5</v>
      </c>
    </row>
    <row r="863" spans="1:2">
      <c r="A863" t="s">
        <v>2259</v>
      </c>
      <c r="B863">
        <v>0.5</v>
      </c>
    </row>
    <row r="864" spans="1:2">
      <c r="A864" t="s">
        <v>2260</v>
      </c>
      <c r="B864">
        <v>0.5</v>
      </c>
    </row>
    <row r="865" spans="1:2">
      <c r="A865" t="s">
        <v>2261</v>
      </c>
      <c r="B865">
        <v>0.5</v>
      </c>
    </row>
    <row r="866" spans="1:2">
      <c r="A866" t="s">
        <v>2262</v>
      </c>
      <c r="B866">
        <v>0.5</v>
      </c>
    </row>
    <row r="867" spans="1:2">
      <c r="A867" t="s">
        <v>2263</v>
      </c>
      <c r="B867">
        <v>0.5</v>
      </c>
    </row>
    <row r="868" spans="1:2">
      <c r="A868" t="s">
        <v>2264</v>
      </c>
      <c r="B868">
        <v>0.5</v>
      </c>
    </row>
    <row r="869" spans="1:2">
      <c r="A869" t="s">
        <v>2265</v>
      </c>
      <c r="B869">
        <v>0.5</v>
      </c>
    </row>
    <row r="870" spans="1:2">
      <c r="A870" t="s">
        <v>2266</v>
      </c>
      <c r="B870">
        <v>0.5</v>
      </c>
    </row>
    <row r="871" spans="1:2">
      <c r="A871" t="s">
        <v>2267</v>
      </c>
      <c r="B871">
        <v>0.5</v>
      </c>
    </row>
    <row r="872" spans="1:2">
      <c r="A872" t="s">
        <v>2268</v>
      </c>
      <c r="B872">
        <v>0.5</v>
      </c>
    </row>
    <row r="873" spans="1:2">
      <c r="A873" t="s">
        <v>2269</v>
      </c>
      <c r="B873">
        <v>0.5</v>
      </c>
    </row>
    <row r="874" spans="1:2">
      <c r="A874" t="s">
        <v>2270</v>
      </c>
      <c r="B874">
        <v>0.5</v>
      </c>
    </row>
    <row r="875" spans="1:2">
      <c r="A875" t="s">
        <v>2271</v>
      </c>
      <c r="B875">
        <v>0.5</v>
      </c>
    </row>
    <row r="876" spans="1:2">
      <c r="A876" t="s">
        <v>2272</v>
      </c>
      <c r="B876">
        <v>0.5</v>
      </c>
    </row>
    <row r="877" spans="1:2">
      <c r="A877" t="s">
        <v>2273</v>
      </c>
      <c r="B877">
        <v>0.5</v>
      </c>
    </row>
    <row r="878" spans="1:2">
      <c r="A878" t="s">
        <v>2274</v>
      </c>
      <c r="B878">
        <v>0.5</v>
      </c>
    </row>
    <row r="879" spans="1:2">
      <c r="A879" t="s">
        <v>2275</v>
      </c>
      <c r="B879">
        <v>0.5</v>
      </c>
    </row>
    <row r="880" spans="1:2">
      <c r="A880" t="s">
        <v>2276</v>
      </c>
      <c r="B880">
        <v>0.5</v>
      </c>
    </row>
    <row r="881" spans="1:2">
      <c r="A881" t="s">
        <v>2277</v>
      </c>
      <c r="B881">
        <v>0.5</v>
      </c>
    </row>
    <row r="882" spans="1:2">
      <c r="A882" t="s">
        <v>2278</v>
      </c>
      <c r="B882">
        <v>0.5</v>
      </c>
    </row>
    <row r="883" spans="1:2">
      <c r="A883" t="s">
        <v>2279</v>
      </c>
      <c r="B883">
        <v>0.5</v>
      </c>
    </row>
    <row r="884" spans="1:2">
      <c r="A884" t="s">
        <v>2280</v>
      </c>
      <c r="B884">
        <v>0.5</v>
      </c>
    </row>
    <row r="885" spans="1:2">
      <c r="A885" t="s">
        <v>2281</v>
      </c>
      <c r="B885">
        <v>0.5</v>
      </c>
    </row>
    <row r="886" spans="1:2">
      <c r="A886" t="s">
        <v>2282</v>
      </c>
      <c r="B886">
        <v>0.5</v>
      </c>
    </row>
    <row r="887" spans="1:2">
      <c r="A887" t="s">
        <v>2283</v>
      </c>
      <c r="B887">
        <v>0.5</v>
      </c>
    </row>
    <row r="888" spans="1:2">
      <c r="A888" t="s">
        <v>2284</v>
      </c>
      <c r="B888">
        <v>0.5</v>
      </c>
    </row>
    <row r="889" spans="1:2">
      <c r="A889" t="s">
        <v>2285</v>
      </c>
      <c r="B889">
        <v>0.5</v>
      </c>
    </row>
    <row r="890" spans="1:2">
      <c r="A890" t="s">
        <v>2286</v>
      </c>
      <c r="B890">
        <v>0.5</v>
      </c>
    </row>
    <row r="891" spans="1:2">
      <c r="A891" t="s">
        <v>2287</v>
      </c>
      <c r="B891">
        <v>0.5</v>
      </c>
    </row>
    <row r="892" spans="1:2">
      <c r="A892" t="s">
        <v>2288</v>
      </c>
      <c r="B892">
        <v>0.5</v>
      </c>
    </row>
    <row r="893" spans="1:2">
      <c r="A893" t="s">
        <v>2289</v>
      </c>
      <c r="B893">
        <v>0.5</v>
      </c>
    </row>
    <row r="894" spans="1:2">
      <c r="A894" t="s">
        <v>2290</v>
      </c>
      <c r="B894">
        <v>0.5</v>
      </c>
    </row>
    <row r="895" spans="1:2">
      <c r="A895" t="s">
        <v>2291</v>
      </c>
      <c r="B895">
        <v>0.5</v>
      </c>
    </row>
    <row r="896" spans="1:2">
      <c r="A896" t="s">
        <v>2292</v>
      </c>
      <c r="B896">
        <v>0.5</v>
      </c>
    </row>
    <row r="897" spans="1:2">
      <c r="A897" t="s">
        <v>2293</v>
      </c>
      <c r="B897">
        <v>0.5</v>
      </c>
    </row>
    <row r="898" spans="1:2">
      <c r="A898" t="s">
        <v>2294</v>
      </c>
      <c r="B898">
        <v>0.5</v>
      </c>
    </row>
    <row r="899" spans="1:2">
      <c r="A899" t="s">
        <v>2295</v>
      </c>
      <c r="B899">
        <v>0.5</v>
      </c>
    </row>
    <row r="900" spans="1:2">
      <c r="A900" t="s">
        <v>2296</v>
      </c>
      <c r="B900">
        <v>0.5</v>
      </c>
    </row>
    <row r="901" spans="1:2">
      <c r="A901" t="s">
        <v>2297</v>
      </c>
      <c r="B901">
        <v>0.5</v>
      </c>
    </row>
    <row r="902" spans="1:2">
      <c r="A902" t="s">
        <v>2298</v>
      </c>
      <c r="B902">
        <v>0.5</v>
      </c>
    </row>
    <row r="903" spans="1:2">
      <c r="A903" t="s">
        <v>2299</v>
      </c>
      <c r="B903">
        <v>0.5</v>
      </c>
    </row>
    <row r="904" spans="1:2">
      <c r="A904" t="s">
        <v>2300</v>
      </c>
      <c r="B904">
        <v>0.5</v>
      </c>
    </row>
    <row r="905" spans="1:2">
      <c r="A905" t="s">
        <v>2301</v>
      </c>
      <c r="B905">
        <v>0.5</v>
      </c>
    </row>
    <row r="906" spans="1:2">
      <c r="A906" t="s">
        <v>2302</v>
      </c>
      <c r="B906">
        <v>0.5</v>
      </c>
    </row>
    <row r="907" spans="1:2">
      <c r="A907" t="s">
        <v>2303</v>
      </c>
      <c r="B907">
        <v>0.5</v>
      </c>
    </row>
    <row r="908" spans="1:2">
      <c r="A908" t="s">
        <v>2304</v>
      </c>
      <c r="B908">
        <v>0.5</v>
      </c>
    </row>
    <row r="909" spans="1:2">
      <c r="A909" t="s">
        <v>2305</v>
      </c>
      <c r="B909">
        <v>0.5</v>
      </c>
    </row>
    <row r="910" spans="1:2">
      <c r="A910" t="s">
        <v>2306</v>
      </c>
      <c r="B910">
        <v>0.5</v>
      </c>
    </row>
    <row r="911" spans="1:2">
      <c r="A911" t="s">
        <v>2307</v>
      </c>
      <c r="B911">
        <v>0.5</v>
      </c>
    </row>
    <row r="912" spans="1:2">
      <c r="A912" t="s">
        <v>2308</v>
      </c>
      <c r="B912">
        <v>0.5</v>
      </c>
    </row>
    <row r="913" spans="1:2">
      <c r="A913" t="s">
        <v>2309</v>
      </c>
      <c r="B913">
        <v>0.5</v>
      </c>
    </row>
    <row r="914" spans="1:2">
      <c r="A914" t="s">
        <v>2310</v>
      </c>
      <c r="B914">
        <v>0.5</v>
      </c>
    </row>
    <row r="915" spans="1:2">
      <c r="A915" t="s">
        <v>2311</v>
      </c>
      <c r="B915">
        <v>0.5</v>
      </c>
    </row>
    <row r="916" spans="1:2">
      <c r="A916" t="s">
        <v>2312</v>
      </c>
      <c r="B916">
        <v>0.5</v>
      </c>
    </row>
    <row r="917" spans="1:2">
      <c r="A917" t="s">
        <v>2313</v>
      </c>
      <c r="B917">
        <v>0.5</v>
      </c>
    </row>
    <row r="918" spans="1:2">
      <c r="A918" t="s">
        <v>2314</v>
      </c>
      <c r="B918">
        <v>0.5</v>
      </c>
    </row>
    <row r="919" spans="1:2">
      <c r="A919" t="s">
        <v>2315</v>
      </c>
      <c r="B919">
        <v>0.5</v>
      </c>
    </row>
    <row r="920" spans="1:2">
      <c r="A920" t="s">
        <v>2316</v>
      </c>
      <c r="B920">
        <v>0.5</v>
      </c>
    </row>
    <row r="921" spans="1:2">
      <c r="A921" t="s">
        <v>2317</v>
      </c>
      <c r="B921">
        <v>0.5</v>
      </c>
    </row>
    <row r="922" spans="1:2">
      <c r="A922" t="s">
        <v>2318</v>
      </c>
      <c r="B922">
        <v>0.5</v>
      </c>
    </row>
    <row r="923" spans="1:2">
      <c r="A923" t="s">
        <v>2319</v>
      </c>
      <c r="B923">
        <v>0.5</v>
      </c>
    </row>
    <row r="924" spans="1:2">
      <c r="A924" t="s">
        <v>2320</v>
      </c>
      <c r="B924">
        <v>0.5</v>
      </c>
    </row>
    <row r="925" spans="1:2">
      <c r="A925" t="s">
        <v>2321</v>
      </c>
      <c r="B925">
        <v>0.5</v>
      </c>
    </row>
    <row r="926" spans="1:2">
      <c r="A926" t="s">
        <v>2322</v>
      </c>
      <c r="B926">
        <v>0.5</v>
      </c>
    </row>
    <row r="927" spans="1:2">
      <c r="A927" t="s">
        <v>2323</v>
      </c>
      <c r="B927">
        <v>0.5</v>
      </c>
    </row>
    <row r="928" spans="1:2">
      <c r="A928" t="s">
        <v>2324</v>
      </c>
      <c r="B928">
        <v>0.5</v>
      </c>
    </row>
    <row r="929" spans="1:2">
      <c r="A929" t="s">
        <v>2325</v>
      </c>
      <c r="B929">
        <v>0.5</v>
      </c>
    </row>
    <row r="930" spans="1:2">
      <c r="A930" t="s">
        <v>2326</v>
      </c>
      <c r="B930">
        <v>0.5</v>
      </c>
    </row>
    <row r="931" spans="1:2">
      <c r="A931" t="s">
        <v>2327</v>
      </c>
      <c r="B931">
        <v>0.5</v>
      </c>
    </row>
    <row r="932" spans="1:2">
      <c r="A932" t="s">
        <v>2328</v>
      </c>
      <c r="B932">
        <v>0.5</v>
      </c>
    </row>
    <row r="933" spans="1:2">
      <c r="A933" t="s">
        <v>2329</v>
      </c>
      <c r="B933">
        <v>0.5</v>
      </c>
    </row>
    <row r="934" spans="1:2">
      <c r="A934" t="s">
        <v>2330</v>
      </c>
      <c r="B934">
        <v>0.5</v>
      </c>
    </row>
    <row r="935" spans="1:2">
      <c r="A935" t="s">
        <v>2331</v>
      </c>
      <c r="B935">
        <v>0.5</v>
      </c>
    </row>
    <row r="936" spans="1:2">
      <c r="A936" t="s">
        <v>2332</v>
      </c>
      <c r="B936">
        <v>0.5</v>
      </c>
    </row>
    <row r="937" spans="1:2">
      <c r="A937" t="s">
        <v>2333</v>
      </c>
      <c r="B937">
        <v>0.5</v>
      </c>
    </row>
    <row r="938" spans="1:2">
      <c r="A938" t="s">
        <v>2334</v>
      </c>
      <c r="B938">
        <v>0.5</v>
      </c>
    </row>
    <row r="939" spans="1:2">
      <c r="A939" t="s">
        <v>2335</v>
      </c>
      <c r="B939">
        <v>0.5</v>
      </c>
    </row>
    <row r="940" spans="1:2">
      <c r="A940" t="s">
        <v>2336</v>
      </c>
      <c r="B940">
        <v>0.5</v>
      </c>
    </row>
    <row r="941" spans="1:2">
      <c r="A941" t="s">
        <v>2337</v>
      </c>
      <c r="B941">
        <v>0.5</v>
      </c>
    </row>
    <row r="942" spans="1:2">
      <c r="A942" t="s">
        <v>2338</v>
      </c>
      <c r="B942">
        <v>0.5</v>
      </c>
    </row>
    <row r="943" spans="1:2">
      <c r="A943" t="s">
        <v>2339</v>
      </c>
      <c r="B943">
        <v>0.5</v>
      </c>
    </row>
    <row r="944" spans="1:2">
      <c r="A944" t="s">
        <v>2340</v>
      </c>
      <c r="B944">
        <v>0.5</v>
      </c>
    </row>
    <row r="945" spans="1:2">
      <c r="A945" t="s">
        <v>2341</v>
      </c>
      <c r="B945">
        <v>0.5</v>
      </c>
    </row>
    <row r="946" spans="1:2">
      <c r="A946" t="s">
        <v>2342</v>
      </c>
      <c r="B946">
        <v>0.5</v>
      </c>
    </row>
    <row r="947" spans="1:2">
      <c r="A947" t="s">
        <v>2343</v>
      </c>
      <c r="B947">
        <v>0.5</v>
      </c>
    </row>
    <row r="948" spans="1:2">
      <c r="A948" t="s">
        <v>2344</v>
      </c>
      <c r="B948">
        <v>0.5</v>
      </c>
    </row>
    <row r="949" spans="1:2">
      <c r="A949" t="s">
        <v>2345</v>
      </c>
      <c r="B949">
        <v>0.5</v>
      </c>
    </row>
    <row r="950" spans="1:2">
      <c r="A950" t="s">
        <v>2346</v>
      </c>
      <c r="B950">
        <v>0.5</v>
      </c>
    </row>
    <row r="951" spans="1:2">
      <c r="A951" t="s">
        <v>2347</v>
      </c>
      <c r="B951">
        <v>0.5</v>
      </c>
    </row>
    <row r="952" spans="1:2">
      <c r="A952" t="s">
        <v>2348</v>
      </c>
      <c r="B952">
        <v>0.5</v>
      </c>
    </row>
    <row r="953" spans="1:2">
      <c r="A953" t="s">
        <v>2349</v>
      </c>
      <c r="B953">
        <v>0.5</v>
      </c>
    </row>
    <row r="954" spans="1:2">
      <c r="A954" t="s">
        <v>2350</v>
      </c>
      <c r="B954">
        <v>0.5</v>
      </c>
    </row>
    <row r="955" spans="1:2">
      <c r="A955" t="s">
        <v>2351</v>
      </c>
      <c r="B955">
        <v>0.5</v>
      </c>
    </row>
    <row r="956" spans="1:2">
      <c r="A956" t="s">
        <v>2352</v>
      </c>
      <c r="B956">
        <v>0.5</v>
      </c>
    </row>
    <row r="957" spans="1:2">
      <c r="A957" t="s">
        <v>2353</v>
      </c>
      <c r="B957">
        <v>0.5</v>
      </c>
    </row>
    <row r="958" spans="1:2">
      <c r="A958" t="s">
        <v>2354</v>
      </c>
      <c r="B958">
        <v>0.5</v>
      </c>
    </row>
    <row r="959" spans="1:2">
      <c r="A959" t="s">
        <v>2355</v>
      </c>
      <c r="B959">
        <v>0.5</v>
      </c>
    </row>
    <row r="960" spans="1:2">
      <c r="A960" t="s">
        <v>2356</v>
      </c>
      <c r="B960">
        <v>0.5</v>
      </c>
    </row>
    <row r="961" spans="1:2">
      <c r="A961" t="s">
        <v>2357</v>
      </c>
      <c r="B961">
        <v>0.5</v>
      </c>
    </row>
    <row r="962" spans="1:2">
      <c r="A962" t="s">
        <v>2358</v>
      </c>
      <c r="B962">
        <v>0.5</v>
      </c>
    </row>
    <row r="963" spans="1:2">
      <c r="A963" t="s">
        <v>2359</v>
      </c>
      <c r="B963">
        <v>0.5</v>
      </c>
    </row>
    <row r="964" spans="1:2">
      <c r="A964" t="s">
        <v>2360</v>
      </c>
      <c r="B964">
        <v>0.5</v>
      </c>
    </row>
    <row r="965" spans="1:2">
      <c r="A965" t="s">
        <v>2361</v>
      </c>
      <c r="B965">
        <v>0.5</v>
      </c>
    </row>
    <row r="966" spans="1:2">
      <c r="A966" t="s">
        <v>2362</v>
      </c>
      <c r="B966">
        <v>0.5</v>
      </c>
    </row>
    <row r="967" spans="1:2">
      <c r="A967" t="s">
        <v>2363</v>
      </c>
      <c r="B967">
        <v>0.5</v>
      </c>
    </row>
    <row r="968" spans="1:2">
      <c r="A968" t="s">
        <v>2364</v>
      </c>
      <c r="B968">
        <v>0.5</v>
      </c>
    </row>
    <row r="969" spans="1:2">
      <c r="A969" t="s">
        <v>2365</v>
      </c>
      <c r="B969">
        <v>0.5</v>
      </c>
    </row>
    <row r="970" spans="1:2">
      <c r="A970" t="s">
        <v>2366</v>
      </c>
      <c r="B970">
        <v>0.5</v>
      </c>
    </row>
    <row r="971" spans="1:2">
      <c r="A971" t="s">
        <v>2367</v>
      </c>
      <c r="B971">
        <v>0.5</v>
      </c>
    </row>
    <row r="972" spans="1:2">
      <c r="A972" t="s">
        <v>2368</v>
      </c>
      <c r="B972">
        <v>0.5</v>
      </c>
    </row>
    <row r="973" spans="1:2">
      <c r="A973" t="s">
        <v>2369</v>
      </c>
      <c r="B973">
        <v>0.5</v>
      </c>
    </row>
    <row r="974" spans="1:2">
      <c r="A974" t="s">
        <v>2370</v>
      </c>
      <c r="B974">
        <v>0.5</v>
      </c>
    </row>
    <row r="975" spans="1:2">
      <c r="A975" t="s">
        <v>2371</v>
      </c>
      <c r="B975">
        <v>0.5</v>
      </c>
    </row>
    <row r="976" spans="1:2">
      <c r="A976" t="s">
        <v>2372</v>
      </c>
      <c r="B976">
        <v>0.5</v>
      </c>
    </row>
    <row r="977" spans="1:2">
      <c r="A977" t="s">
        <v>2373</v>
      </c>
      <c r="B977">
        <v>0.5</v>
      </c>
    </row>
    <row r="978" spans="1:2">
      <c r="A978" t="s">
        <v>2374</v>
      </c>
      <c r="B978">
        <v>0.5</v>
      </c>
    </row>
    <row r="979" spans="1:2">
      <c r="A979" t="s">
        <v>2375</v>
      </c>
      <c r="B979">
        <v>0.5</v>
      </c>
    </row>
    <row r="980" spans="1:2">
      <c r="A980" t="s">
        <v>2376</v>
      </c>
      <c r="B980">
        <v>0.5</v>
      </c>
    </row>
    <row r="981" spans="1:2">
      <c r="A981" t="s">
        <v>2377</v>
      </c>
      <c r="B981">
        <v>0.5</v>
      </c>
    </row>
    <row r="982" spans="1:2">
      <c r="A982" t="s">
        <v>2378</v>
      </c>
      <c r="B982">
        <v>0.5</v>
      </c>
    </row>
    <row r="983" spans="1:2">
      <c r="A983" t="s">
        <v>2379</v>
      </c>
      <c r="B983">
        <v>0.5</v>
      </c>
    </row>
    <row r="984" spans="1:2">
      <c r="A984" t="s">
        <v>2380</v>
      </c>
      <c r="B984">
        <v>0.5</v>
      </c>
    </row>
    <row r="985" spans="1:2">
      <c r="A985" t="s">
        <v>2381</v>
      </c>
      <c r="B985">
        <v>0.5</v>
      </c>
    </row>
    <row r="986" spans="1:2">
      <c r="A986" t="s">
        <v>2382</v>
      </c>
      <c r="B986">
        <v>0.5</v>
      </c>
    </row>
    <row r="987" spans="1:2">
      <c r="A987" t="s">
        <v>2383</v>
      </c>
      <c r="B987">
        <v>0.5</v>
      </c>
    </row>
    <row r="988" spans="1:2">
      <c r="A988" t="s">
        <v>2384</v>
      </c>
      <c r="B988">
        <v>0.5</v>
      </c>
    </row>
    <row r="989" spans="1:2">
      <c r="A989" t="s">
        <v>2385</v>
      </c>
      <c r="B989">
        <v>0.5</v>
      </c>
    </row>
    <row r="990" spans="1:2">
      <c r="A990" t="s">
        <v>2386</v>
      </c>
      <c r="B990">
        <v>0.5</v>
      </c>
    </row>
    <row r="991" spans="1:2">
      <c r="A991" t="s">
        <v>2387</v>
      </c>
      <c r="B991">
        <v>0.5</v>
      </c>
    </row>
    <row r="992" spans="1:2">
      <c r="A992" t="s">
        <v>2388</v>
      </c>
      <c r="B992">
        <v>0.5</v>
      </c>
    </row>
    <row r="993" spans="1:2">
      <c r="A993" t="s">
        <v>2389</v>
      </c>
      <c r="B993">
        <v>0.5</v>
      </c>
    </row>
    <row r="994" spans="1:2">
      <c r="A994" t="s">
        <v>2390</v>
      </c>
      <c r="B994">
        <v>0.5</v>
      </c>
    </row>
    <row r="995" spans="1:2">
      <c r="A995" t="s">
        <v>2391</v>
      </c>
      <c r="B995">
        <v>0.5</v>
      </c>
    </row>
    <row r="996" spans="1:2">
      <c r="A996" t="s">
        <v>2392</v>
      </c>
      <c r="B996">
        <v>0.5</v>
      </c>
    </row>
    <row r="997" spans="1:2">
      <c r="A997" t="s">
        <v>2393</v>
      </c>
      <c r="B997">
        <v>0.5</v>
      </c>
    </row>
    <row r="998" spans="1:2">
      <c r="A998" t="s">
        <v>2394</v>
      </c>
      <c r="B998">
        <v>0.5</v>
      </c>
    </row>
    <row r="999" spans="1:2">
      <c r="A999" t="s">
        <v>2395</v>
      </c>
      <c r="B999">
        <v>0.5</v>
      </c>
    </row>
    <row r="1000" spans="1:2">
      <c r="A1000" t="s">
        <v>2396</v>
      </c>
      <c r="B1000">
        <v>0.5</v>
      </c>
    </row>
    <row r="1001" spans="1:2">
      <c r="A1001" t="s">
        <v>2397</v>
      </c>
      <c r="B1001">
        <v>0.5</v>
      </c>
    </row>
    <row r="1002" spans="1:2">
      <c r="A1002" t="s">
        <v>2398</v>
      </c>
      <c r="B1002">
        <v>0.5</v>
      </c>
    </row>
    <row r="1003" spans="1:2">
      <c r="A1003" t="s">
        <v>2399</v>
      </c>
      <c r="B1003">
        <v>0.5</v>
      </c>
    </row>
    <row r="1004" spans="1:2">
      <c r="A1004" t="s">
        <v>2400</v>
      </c>
      <c r="B1004">
        <v>0.5</v>
      </c>
    </row>
    <row r="1005" spans="1:2">
      <c r="A1005" t="s">
        <v>2401</v>
      </c>
      <c r="B1005">
        <v>0.5</v>
      </c>
    </row>
    <row r="1006" spans="1:2">
      <c r="A1006" t="s">
        <v>2402</v>
      </c>
      <c r="B1006">
        <v>0.5</v>
      </c>
    </row>
    <row r="1007" spans="1:2">
      <c r="A1007" t="s">
        <v>2403</v>
      </c>
      <c r="B1007">
        <v>0.5</v>
      </c>
    </row>
    <row r="1008" spans="1:2">
      <c r="A1008" t="s">
        <v>2404</v>
      </c>
      <c r="B1008">
        <v>0.5</v>
      </c>
    </row>
    <row r="1009" spans="1:2">
      <c r="A1009" t="s">
        <v>2405</v>
      </c>
      <c r="B1009">
        <v>0.5</v>
      </c>
    </row>
    <row r="1010" spans="1:2">
      <c r="A1010" t="s">
        <v>373</v>
      </c>
      <c r="B1010">
        <v>0.15</v>
      </c>
    </row>
    <row r="1011" spans="1:2">
      <c r="A1011" t="s">
        <v>2406</v>
      </c>
      <c r="B1011">
        <v>0.2</v>
      </c>
    </row>
    <row r="1012" spans="1:2">
      <c r="A1012" t="s">
        <v>2407</v>
      </c>
      <c r="B1012">
        <v>0.25</v>
      </c>
    </row>
    <row r="1013" spans="1:2">
      <c r="A1013" t="s">
        <v>2408</v>
      </c>
      <c r="B1013">
        <v>1</v>
      </c>
    </row>
    <row r="1014" spans="1:2">
      <c r="A1014" t="s">
        <v>2408</v>
      </c>
      <c r="B1014">
        <v>1</v>
      </c>
    </row>
    <row r="1015" spans="1:2">
      <c r="A1015" t="s">
        <v>2409</v>
      </c>
      <c r="B1015">
        <v>1</v>
      </c>
    </row>
    <row r="1016" spans="1:2">
      <c r="A1016" t="s">
        <v>2410</v>
      </c>
      <c r="B1016">
        <v>1</v>
      </c>
    </row>
    <row r="1017" spans="1:2">
      <c r="A1017" t="s">
        <v>2411</v>
      </c>
      <c r="B1017">
        <v>1</v>
      </c>
    </row>
    <row r="1018" spans="1:2">
      <c r="A1018" t="s">
        <v>2412</v>
      </c>
      <c r="B1018">
        <v>1</v>
      </c>
    </row>
    <row r="1019" spans="1:2">
      <c r="A1019" t="s">
        <v>2413</v>
      </c>
      <c r="B1019">
        <v>1</v>
      </c>
    </row>
    <row r="1020" spans="1:2">
      <c r="A1020" t="s">
        <v>2414</v>
      </c>
      <c r="B1020">
        <v>1</v>
      </c>
    </row>
    <row r="1021" spans="1:2">
      <c r="A1021" t="s">
        <v>2415</v>
      </c>
      <c r="B1021">
        <v>1</v>
      </c>
    </row>
    <row r="1022" spans="1:2">
      <c r="A1022" t="s">
        <v>2416</v>
      </c>
      <c r="B1022">
        <v>1</v>
      </c>
    </row>
    <row r="1023" spans="1:2">
      <c r="A1023" t="s">
        <v>2417</v>
      </c>
      <c r="B1023">
        <v>1</v>
      </c>
    </row>
    <row r="1024" spans="1:2">
      <c r="A1024" t="s">
        <v>2418</v>
      </c>
      <c r="B1024">
        <v>1</v>
      </c>
    </row>
    <row r="1025" spans="1:2">
      <c r="A1025" t="s">
        <v>2419</v>
      </c>
      <c r="B1025">
        <v>1</v>
      </c>
    </row>
    <row r="1026" spans="1:2">
      <c r="A1026" t="s">
        <v>2420</v>
      </c>
      <c r="B1026">
        <v>1</v>
      </c>
    </row>
    <row r="1027" spans="1:2">
      <c r="A1027" t="s">
        <v>2421</v>
      </c>
      <c r="B1027">
        <v>0.5</v>
      </c>
    </row>
    <row r="1028" spans="1:2">
      <c r="A1028" t="s">
        <v>2422</v>
      </c>
      <c r="B1028">
        <v>0.5</v>
      </c>
    </row>
    <row r="1029" spans="1:2">
      <c r="A1029" t="s">
        <v>2423</v>
      </c>
      <c r="B1029">
        <v>0.5</v>
      </c>
    </row>
    <row r="1030" spans="1:2">
      <c r="A1030" t="s">
        <v>2424</v>
      </c>
      <c r="B1030">
        <v>0.5</v>
      </c>
    </row>
    <row r="1031" spans="1:2">
      <c r="A1031" t="s">
        <v>2425</v>
      </c>
      <c r="B1031">
        <v>0.5</v>
      </c>
    </row>
    <row r="1032" spans="1:2">
      <c r="A1032" t="s">
        <v>2426</v>
      </c>
      <c r="B1032">
        <v>0.5</v>
      </c>
    </row>
    <row r="1033" spans="1:2">
      <c r="A1033" t="s">
        <v>2427</v>
      </c>
      <c r="B1033">
        <v>0.5</v>
      </c>
    </row>
    <row r="1034" spans="1:2">
      <c r="A1034" t="s">
        <v>2428</v>
      </c>
      <c r="B1034">
        <v>0.5</v>
      </c>
    </row>
    <row r="1035" spans="1:2">
      <c r="A1035" t="s">
        <v>2429</v>
      </c>
      <c r="B1035">
        <v>0.5</v>
      </c>
    </row>
    <row r="1036" spans="1:2">
      <c r="A1036" t="s">
        <v>2430</v>
      </c>
      <c r="B1036">
        <v>0.5</v>
      </c>
    </row>
    <row r="1037" spans="1:2">
      <c r="A1037" t="s">
        <v>2431</v>
      </c>
      <c r="B1037">
        <v>0.5</v>
      </c>
    </row>
    <row r="1038" spans="1:2">
      <c r="A1038" t="s">
        <v>2432</v>
      </c>
      <c r="B1038">
        <v>0.5</v>
      </c>
    </row>
    <row r="1039" spans="1:2">
      <c r="A1039" t="s">
        <v>2433</v>
      </c>
      <c r="B1039">
        <v>0.5</v>
      </c>
    </row>
    <row r="1040" spans="1:2">
      <c r="A1040" t="s">
        <v>2434</v>
      </c>
      <c r="B1040">
        <v>0.5</v>
      </c>
    </row>
    <row r="1041" spans="1:2">
      <c r="A1041" t="s">
        <v>2435</v>
      </c>
      <c r="B1041">
        <v>0.5</v>
      </c>
    </row>
    <row r="1042" spans="1:2">
      <c r="A1042" t="s">
        <v>2436</v>
      </c>
      <c r="B1042">
        <v>0.5</v>
      </c>
    </row>
    <row r="1043" spans="1:2">
      <c r="A1043" t="s">
        <v>2437</v>
      </c>
      <c r="B1043">
        <v>0.5</v>
      </c>
    </row>
    <row r="1044" spans="1:2">
      <c r="A1044" t="s">
        <v>2438</v>
      </c>
      <c r="B1044">
        <v>0.5</v>
      </c>
    </row>
    <row r="1045" spans="1:2">
      <c r="A1045" t="s">
        <v>2439</v>
      </c>
      <c r="B1045">
        <v>0.5</v>
      </c>
    </row>
    <row r="1046" spans="1:2">
      <c r="A1046" t="s">
        <v>2440</v>
      </c>
      <c r="B1046">
        <v>0.5</v>
      </c>
    </row>
    <row r="1047" spans="1:2">
      <c r="A1047" t="s">
        <v>2441</v>
      </c>
      <c r="B1047">
        <v>0.5</v>
      </c>
    </row>
    <row r="1048" spans="1:2">
      <c r="A1048" t="s">
        <v>2442</v>
      </c>
      <c r="B1048">
        <v>0.5</v>
      </c>
    </row>
    <row r="1049" spans="1:2">
      <c r="A1049" t="s">
        <v>2443</v>
      </c>
      <c r="B1049">
        <v>0.5</v>
      </c>
    </row>
    <row r="1050" spans="1:2">
      <c r="A1050" t="s">
        <v>2444</v>
      </c>
      <c r="B1050">
        <v>0.5</v>
      </c>
    </row>
    <row r="1051" spans="1:2">
      <c r="A1051" t="s">
        <v>2445</v>
      </c>
      <c r="B1051">
        <v>0.5</v>
      </c>
    </row>
    <row r="1052" spans="1:2">
      <c r="A1052" t="s">
        <v>2446</v>
      </c>
      <c r="B1052">
        <v>0.5</v>
      </c>
    </row>
    <row r="1053" spans="1:2">
      <c r="A1053" t="s">
        <v>2447</v>
      </c>
      <c r="B1053">
        <v>0.5</v>
      </c>
    </row>
    <row r="1054" spans="1:2">
      <c r="A1054" t="s">
        <v>2448</v>
      </c>
      <c r="B1054">
        <v>0.5</v>
      </c>
    </row>
    <row r="1055" spans="1:2">
      <c r="A1055" t="s">
        <v>2449</v>
      </c>
      <c r="B1055">
        <v>0.5</v>
      </c>
    </row>
    <row r="1056" spans="1:2">
      <c r="A1056" t="s">
        <v>2450</v>
      </c>
      <c r="B1056">
        <v>0.5</v>
      </c>
    </row>
    <row r="1057" spans="1:2">
      <c r="A1057" t="s">
        <v>2451</v>
      </c>
      <c r="B1057">
        <v>0.5</v>
      </c>
    </row>
    <row r="1058" spans="1:2">
      <c r="A1058" t="s">
        <v>2452</v>
      </c>
      <c r="B1058">
        <v>0.5</v>
      </c>
    </row>
    <row r="1059" spans="1:2">
      <c r="A1059" t="s">
        <v>2453</v>
      </c>
      <c r="B1059">
        <v>0.5</v>
      </c>
    </row>
    <row r="1060" spans="1:2">
      <c r="A1060" t="s">
        <v>2454</v>
      </c>
      <c r="B1060">
        <v>0.5</v>
      </c>
    </row>
    <row r="1061" spans="1:2">
      <c r="A1061" t="s">
        <v>2455</v>
      </c>
      <c r="B1061">
        <v>0.5</v>
      </c>
    </row>
    <row r="1062" spans="1:2">
      <c r="A1062" t="s">
        <v>2456</v>
      </c>
      <c r="B1062">
        <v>0.5</v>
      </c>
    </row>
    <row r="1063" spans="1:2">
      <c r="A1063" t="s">
        <v>2457</v>
      </c>
      <c r="B1063">
        <v>0.5</v>
      </c>
    </row>
    <row r="1064" spans="1:2">
      <c r="A1064" t="s">
        <v>2458</v>
      </c>
      <c r="B1064">
        <v>0.5</v>
      </c>
    </row>
    <row r="1065" spans="1:2">
      <c r="A1065" t="s">
        <v>2459</v>
      </c>
      <c r="B1065">
        <v>0.5</v>
      </c>
    </row>
    <row r="1066" spans="1:2">
      <c r="A1066" t="s">
        <v>2460</v>
      </c>
      <c r="B1066">
        <v>0.5</v>
      </c>
    </row>
    <row r="1067" spans="1:2">
      <c r="A1067" t="s">
        <v>2461</v>
      </c>
      <c r="B1067">
        <v>0.5</v>
      </c>
    </row>
    <row r="1068" spans="1:2">
      <c r="A1068" t="s">
        <v>2462</v>
      </c>
      <c r="B1068">
        <v>0.5</v>
      </c>
    </row>
    <row r="1069" spans="1:2">
      <c r="A1069" t="s">
        <v>2463</v>
      </c>
      <c r="B1069">
        <v>0.5</v>
      </c>
    </row>
    <row r="1070" spans="1:2">
      <c r="A1070" t="s">
        <v>2464</v>
      </c>
      <c r="B1070">
        <v>0.5</v>
      </c>
    </row>
    <row r="1071" spans="1:2">
      <c r="A1071" t="s">
        <v>2465</v>
      </c>
      <c r="B1071">
        <v>0.5</v>
      </c>
    </row>
    <row r="1072" spans="1:2">
      <c r="A1072" t="s">
        <v>2466</v>
      </c>
      <c r="B1072">
        <v>0.5</v>
      </c>
    </row>
    <row r="1073" spans="1:2">
      <c r="A1073" t="s">
        <v>2467</v>
      </c>
      <c r="B1073">
        <v>0.5</v>
      </c>
    </row>
    <row r="1074" spans="1:2">
      <c r="A1074" t="s">
        <v>2468</v>
      </c>
      <c r="B1074">
        <v>0.5</v>
      </c>
    </row>
    <row r="1075" spans="1:2">
      <c r="A1075" t="s">
        <v>2469</v>
      </c>
      <c r="B1075">
        <v>0.5</v>
      </c>
    </row>
    <row r="1076" spans="1:2">
      <c r="A1076" t="s">
        <v>2470</v>
      </c>
      <c r="B1076">
        <v>0.5</v>
      </c>
    </row>
    <row r="1077" spans="1:2">
      <c r="A1077" t="s">
        <v>2471</v>
      </c>
      <c r="B1077">
        <v>0.5</v>
      </c>
    </row>
    <row r="1078" spans="1:2">
      <c r="A1078" t="s">
        <v>2472</v>
      </c>
      <c r="B1078">
        <v>0.5</v>
      </c>
    </row>
    <row r="1079" spans="1:2">
      <c r="A1079" t="s">
        <v>2473</v>
      </c>
      <c r="B1079">
        <v>0.5</v>
      </c>
    </row>
    <row r="1080" spans="1:2">
      <c r="A1080" t="s">
        <v>2474</v>
      </c>
      <c r="B1080">
        <v>0.5</v>
      </c>
    </row>
    <row r="1081" spans="1:2">
      <c r="A1081" t="s">
        <v>2475</v>
      </c>
      <c r="B1081">
        <v>0.5</v>
      </c>
    </row>
    <row r="1082" spans="1:2">
      <c r="A1082" t="s">
        <v>2476</v>
      </c>
      <c r="B1082">
        <v>0.5</v>
      </c>
    </row>
    <row r="1083" spans="1:2">
      <c r="A1083" t="s">
        <v>2477</v>
      </c>
      <c r="B1083">
        <v>0.5</v>
      </c>
    </row>
    <row r="1084" spans="1:2">
      <c r="A1084" t="s">
        <v>2478</v>
      </c>
      <c r="B1084">
        <v>0.5</v>
      </c>
    </row>
    <row r="1085" spans="1:2">
      <c r="A1085" t="s">
        <v>2479</v>
      </c>
      <c r="B1085">
        <v>0.5</v>
      </c>
    </row>
    <row r="1086" spans="1:2">
      <c r="A1086" t="s">
        <v>2480</v>
      </c>
      <c r="B1086">
        <v>0.5</v>
      </c>
    </row>
    <row r="1087" spans="1:2">
      <c r="A1087" t="s">
        <v>2481</v>
      </c>
      <c r="B1087">
        <v>0.5</v>
      </c>
    </row>
    <row r="1088" spans="1:2">
      <c r="A1088" t="s">
        <v>2482</v>
      </c>
      <c r="B1088">
        <v>0.5</v>
      </c>
    </row>
    <row r="1089" spans="1:2">
      <c r="A1089" t="s">
        <v>2483</v>
      </c>
      <c r="B1089">
        <v>0.5</v>
      </c>
    </row>
    <row r="1090" spans="1:2">
      <c r="A1090" t="s">
        <v>2484</v>
      </c>
      <c r="B1090">
        <v>0.5</v>
      </c>
    </row>
    <row r="1091" spans="1:2">
      <c r="A1091" t="s">
        <v>2485</v>
      </c>
      <c r="B1091">
        <v>0.5</v>
      </c>
    </row>
    <row r="1092" spans="1:2">
      <c r="A1092" t="s">
        <v>2486</v>
      </c>
      <c r="B1092">
        <v>0.5</v>
      </c>
    </row>
    <row r="1093" spans="1:2">
      <c r="A1093" t="s">
        <v>2487</v>
      </c>
      <c r="B1093">
        <v>0.5</v>
      </c>
    </row>
    <row r="1094" spans="1:2">
      <c r="A1094" t="s">
        <v>2488</v>
      </c>
      <c r="B1094">
        <v>0.5</v>
      </c>
    </row>
    <row r="1095" spans="1:2">
      <c r="A1095" t="s">
        <v>2489</v>
      </c>
      <c r="B1095">
        <v>0.5</v>
      </c>
    </row>
    <row r="1096" spans="1:2">
      <c r="A1096" t="s">
        <v>2490</v>
      </c>
      <c r="B1096">
        <v>0.5</v>
      </c>
    </row>
    <row r="1097" spans="1:2">
      <c r="A1097" t="s">
        <v>2491</v>
      </c>
      <c r="B1097">
        <v>0.5</v>
      </c>
    </row>
    <row r="1098" spans="1:2">
      <c r="A1098" t="s">
        <v>2492</v>
      </c>
      <c r="B1098">
        <v>0.5</v>
      </c>
    </row>
    <row r="1099" spans="1:2">
      <c r="A1099" t="s">
        <v>2493</v>
      </c>
      <c r="B1099">
        <v>0.5</v>
      </c>
    </row>
    <row r="1100" spans="1:2">
      <c r="A1100" t="s">
        <v>2494</v>
      </c>
      <c r="B1100">
        <v>0.5</v>
      </c>
    </row>
    <row r="1101" spans="1:2">
      <c r="A1101" t="s">
        <v>2495</v>
      </c>
      <c r="B1101">
        <v>0.5</v>
      </c>
    </row>
    <row r="1102" spans="1:2">
      <c r="A1102" t="s">
        <v>2496</v>
      </c>
      <c r="B1102">
        <v>0.5</v>
      </c>
    </row>
    <row r="1103" spans="1:2">
      <c r="A1103" t="s">
        <v>2497</v>
      </c>
      <c r="B1103">
        <v>0.5</v>
      </c>
    </row>
    <row r="1104" spans="1:2">
      <c r="A1104" t="s">
        <v>2498</v>
      </c>
      <c r="B1104">
        <v>0.5</v>
      </c>
    </row>
    <row r="1105" spans="1:2">
      <c r="A1105" t="s">
        <v>2499</v>
      </c>
      <c r="B1105">
        <v>0.5</v>
      </c>
    </row>
    <row r="1106" spans="1:2">
      <c r="A1106" t="s">
        <v>2500</v>
      </c>
      <c r="B1106">
        <v>0.5</v>
      </c>
    </row>
    <row r="1107" spans="1:2">
      <c r="A1107" t="s">
        <v>2501</v>
      </c>
      <c r="B1107">
        <v>0.5</v>
      </c>
    </row>
    <row r="1108" spans="1:2">
      <c r="A1108" t="s">
        <v>2502</v>
      </c>
      <c r="B1108">
        <v>0.5</v>
      </c>
    </row>
    <row r="1109" spans="1:2">
      <c r="A1109" t="s">
        <v>2503</v>
      </c>
      <c r="B1109">
        <v>0.5</v>
      </c>
    </row>
    <row r="1110" spans="1:2">
      <c r="A1110" t="s">
        <v>2504</v>
      </c>
      <c r="B1110">
        <v>0.5</v>
      </c>
    </row>
    <row r="1111" spans="1:2">
      <c r="A1111" t="s">
        <v>2505</v>
      </c>
      <c r="B1111">
        <v>0.5</v>
      </c>
    </row>
    <row r="1112" spans="1:2">
      <c r="A1112" t="s">
        <v>2506</v>
      </c>
      <c r="B1112">
        <v>0.5</v>
      </c>
    </row>
    <row r="1113" spans="1:2">
      <c r="A1113" t="s">
        <v>2507</v>
      </c>
      <c r="B1113">
        <v>0.5</v>
      </c>
    </row>
    <row r="1114" spans="1:2">
      <c r="A1114" t="s">
        <v>2508</v>
      </c>
      <c r="B1114">
        <v>0.5</v>
      </c>
    </row>
    <row r="1115" spans="1:2">
      <c r="A1115" t="s">
        <v>2509</v>
      </c>
      <c r="B1115">
        <v>0.5</v>
      </c>
    </row>
    <row r="1116" spans="1:2">
      <c r="A1116" t="s">
        <v>2510</v>
      </c>
      <c r="B1116">
        <v>0.5</v>
      </c>
    </row>
    <row r="1117" spans="1:2">
      <c r="A1117" t="s">
        <v>2511</v>
      </c>
      <c r="B1117">
        <v>0.5</v>
      </c>
    </row>
    <row r="1118" spans="1:2">
      <c r="A1118" t="s">
        <v>2512</v>
      </c>
      <c r="B1118">
        <v>0.5</v>
      </c>
    </row>
    <row r="1119" spans="1:2">
      <c r="A1119" t="s">
        <v>2513</v>
      </c>
      <c r="B1119">
        <v>0.5</v>
      </c>
    </row>
    <row r="1120" spans="1:2">
      <c r="A1120" t="s">
        <v>2514</v>
      </c>
      <c r="B1120">
        <v>0.5</v>
      </c>
    </row>
    <row r="1121" spans="1:2">
      <c r="A1121" t="s">
        <v>2515</v>
      </c>
      <c r="B1121">
        <v>0.5</v>
      </c>
    </row>
    <row r="1122" spans="1:2">
      <c r="A1122" t="s">
        <v>2516</v>
      </c>
      <c r="B1122">
        <v>0.5</v>
      </c>
    </row>
    <row r="1123" spans="1:2">
      <c r="A1123" t="s">
        <v>2517</v>
      </c>
      <c r="B1123">
        <v>0.5</v>
      </c>
    </row>
    <row r="1124" spans="1:2">
      <c r="A1124" t="s">
        <v>2518</v>
      </c>
      <c r="B1124">
        <v>0.5</v>
      </c>
    </row>
    <row r="1125" spans="1:2">
      <c r="A1125" t="s">
        <v>2519</v>
      </c>
      <c r="B1125">
        <v>0.5</v>
      </c>
    </row>
    <row r="1126" spans="1:2">
      <c r="A1126" t="s">
        <v>2520</v>
      </c>
      <c r="B1126">
        <v>0.5</v>
      </c>
    </row>
    <row r="1127" spans="1:2">
      <c r="A1127" t="s">
        <v>2521</v>
      </c>
      <c r="B1127">
        <v>0.5</v>
      </c>
    </row>
    <row r="1128" spans="1:2">
      <c r="A1128" t="s">
        <v>2522</v>
      </c>
      <c r="B1128">
        <v>0.5</v>
      </c>
    </row>
    <row r="1129" spans="1:2">
      <c r="A1129" t="s">
        <v>2523</v>
      </c>
      <c r="B1129">
        <v>0.5</v>
      </c>
    </row>
    <row r="1130" spans="1:2">
      <c r="A1130" t="s">
        <v>2524</v>
      </c>
      <c r="B1130">
        <v>0.5</v>
      </c>
    </row>
    <row r="1131" spans="1:2">
      <c r="A1131" t="s">
        <v>2525</v>
      </c>
      <c r="B1131">
        <v>0.5</v>
      </c>
    </row>
    <row r="1132" spans="1:2">
      <c r="A1132" t="s">
        <v>2526</v>
      </c>
      <c r="B1132">
        <v>0.5</v>
      </c>
    </row>
    <row r="1133" spans="1:2">
      <c r="A1133" t="s">
        <v>2527</v>
      </c>
      <c r="B1133">
        <v>0.5</v>
      </c>
    </row>
    <row r="1134" spans="1:2">
      <c r="A1134" t="s">
        <v>2528</v>
      </c>
      <c r="B1134">
        <v>0.5</v>
      </c>
    </row>
    <row r="1135" spans="1:2">
      <c r="A1135" t="s">
        <v>2529</v>
      </c>
      <c r="B1135">
        <v>0.5</v>
      </c>
    </row>
    <row r="1136" spans="1:2">
      <c r="A1136" t="s">
        <v>2530</v>
      </c>
      <c r="B1136">
        <v>0.5</v>
      </c>
    </row>
    <row r="1137" spans="1:2">
      <c r="A1137" t="s">
        <v>2531</v>
      </c>
      <c r="B1137">
        <v>0.5</v>
      </c>
    </row>
    <row r="1138" spans="1:2">
      <c r="A1138" t="s">
        <v>2532</v>
      </c>
      <c r="B1138">
        <v>0.5</v>
      </c>
    </row>
    <row r="1139" spans="1:2">
      <c r="A1139" t="s">
        <v>2533</v>
      </c>
      <c r="B1139">
        <v>0.5</v>
      </c>
    </row>
    <row r="1140" spans="1:2">
      <c r="A1140" t="s">
        <v>2534</v>
      </c>
      <c r="B1140">
        <v>0.5</v>
      </c>
    </row>
    <row r="1141" spans="1:2">
      <c r="A1141" t="s">
        <v>2535</v>
      </c>
      <c r="B1141">
        <v>0.5</v>
      </c>
    </row>
    <row r="1142" spans="1:2">
      <c r="A1142" t="s">
        <v>2536</v>
      </c>
      <c r="B1142">
        <v>0.5</v>
      </c>
    </row>
    <row r="1143" spans="1:2">
      <c r="A1143" t="s">
        <v>2537</v>
      </c>
      <c r="B1143">
        <v>0.5</v>
      </c>
    </row>
    <row r="1144" spans="1:2">
      <c r="A1144" t="s">
        <v>2538</v>
      </c>
      <c r="B1144">
        <v>0.5</v>
      </c>
    </row>
    <row r="1145" spans="1:2">
      <c r="A1145" t="s">
        <v>2539</v>
      </c>
      <c r="B1145">
        <v>0.5</v>
      </c>
    </row>
    <row r="1146" spans="1:2">
      <c r="A1146" t="s">
        <v>2540</v>
      </c>
      <c r="B1146">
        <v>0.5</v>
      </c>
    </row>
    <row r="1147" spans="1:2">
      <c r="A1147" t="s">
        <v>2541</v>
      </c>
      <c r="B1147">
        <v>0.5</v>
      </c>
    </row>
    <row r="1148" spans="1:2">
      <c r="A1148" t="s">
        <v>2542</v>
      </c>
      <c r="B1148">
        <v>0.5</v>
      </c>
    </row>
    <row r="1149" spans="1:2">
      <c r="A1149" t="s">
        <v>2543</v>
      </c>
      <c r="B1149">
        <v>0.5</v>
      </c>
    </row>
    <row r="1150" spans="1:2">
      <c r="A1150" t="s">
        <v>2544</v>
      </c>
      <c r="B1150">
        <v>0.5</v>
      </c>
    </row>
    <row r="1151" spans="1:2">
      <c r="A1151" t="s">
        <v>2545</v>
      </c>
      <c r="B1151">
        <v>0.5</v>
      </c>
    </row>
    <row r="1152" spans="1:2">
      <c r="A1152" t="s">
        <v>2546</v>
      </c>
      <c r="B1152">
        <v>0.5</v>
      </c>
    </row>
    <row r="1153" spans="1:2">
      <c r="A1153" t="s">
        <v>2547</v>
      </c>
      <c r="B1153">
        <v>0.5</v>
      </c>
    </row>
    <row r="1154" spans="1:2">
      <c r="A1154" t="s">
        <v>2548</v>
      </c>
      <c r="B1154">
        <v>0.5</v>
      </c>
    </row>
    <row r="1155" spans="1:2">
      <c r="A1155" t="s">
        <v>2549</v>
      </c>
      <c r="B1155">
        <v>0.5</v>
      </c>
    </row>
    <row r="1156" spans="1:2">
      <c r="A1156" t="s">
        <v>2550</v>
      </c>
      <c r="B1156">
        <v>0.5</v>
      </c>
    </row>
    <row r="1157" spans="1:2">
      <c r="A1157" t="s">
        <v>2551</v>
      </c>
      <c r="B1157">
        <v>0.5</v>
      </c>
    </row>
    <row r="1158" spans="1:2">
      <c r="A1158" t="s">
        <v>2552</v>
      </c>
      <c r="B1158">
        <v>0.5</v>
      </c>
    </row>
    <row r="1159" spans="1:2">
      <c r="A1159" t="s">
        <v>2553</v>
      </c>
      <c r="B1159">
        <v>0.5</v>
      </c>
    </row>
    <row r="1160" spans="1:2">
      <c r="A1160" t="s">
        <v>2554</v>
      </c>
      <c r="B1160">
        <v>0.5</v>
      </c>
    </row>
    <row r="1161" spans="1:2">
      <c r="A1161" t="s">
        <v>2555</v>
      </c>
      <c r="B1161">
        <v>0.5</v>
      </c>
    </row>
    <row r="1162" spans="1:2">
      <c r="A1162" t="s">
        <v>2556</v>
      </c>
      <c r="B1162">
        <v>0.5</v>
      </c>
    </row>
    <row r="1163" spans="1:2">
      <c r="A1163" t="s">
        <v>2557</v>
      </c>
      <c r="B1163">
        <v>0.5</v>
      </c>
    </row>
    <row r="1164" spans="1:2">
      <c r="A1164" t="s">
        <v>2558</v>
      </c>
      <c r="B1164">
        <v>0.5</v>
      </c>
    </row>
    <row r="1165" spans="1:2">
      <c r="A1165" t="s">
        <v>2559</v>
      </c>
      <c r="B1165">
        <v>0.5</v>
      </c>
    </row>
    <row r="1166" spans="1:2">
      <c r="A1166" t="s">
        <v>2560</v>
      </c>
      <c r="B1166">
        <v>0.5</v>
      </c>
    </row>
    <row r="1167" spans="1:2">
      <c r="A1167" t="s">
        <v>2561</v>
      </c>
      <c r="B1167">
        <v>0.5</v>
      </c>
    </row>
    <row r="1168" spans="1:2">
      <c r="A1168" t="s">
        <v>2562</v>
      </c>
      <c r="B1168">
        <v>0.5</v>
      </c>
    </row>
    <row r="1169" spans="1:2">
      <c r="A1169" t="s">
        <v>2563</v>
      </c>
      <c r="B1169">
        <v>0.5</v>
      </c>
    </row>
    <row r="1170" spans="1:2">
      <c r="A1170" t="s">
        <v>2564</v>
      </c>
      <c r="B1170">
        <v>0.5</v>
      </c>
    </row>
    <row r="1171" spans="1:2">
      <c r="A1171" t="s">
        <v>2565</v>
      </c>
      <c r="B1171">
        <v>0.5</v>
      </c>
    </row>
    <row r="1172" spans="1:2">
      <c r="A1172" t="s">
        <v>2566</v>
      </c>
      <c r="B1172">
        <v>0.5</v>
      </c>
    </row>
    <row r="1173" spans="1:2">
      <c r="A1173" t="s">
        <v>2567</v>
      </c>
      <c r="B1173">
        <v>0.5</v>
      </c>
    </row>
    <row r="1174" spans="1:2">
      <c r="A1174" t="s">
        <v>2568</v>
      </c>
      <c r="B1174">
        <v>0.5</v>
      </c>
    </row>
    <row r="1175" spans="1:2">
      <c r="A1175" t="s">
        <v>2569</v>
      </c>
      <c r="B1175">
        <v>0.5</v>
      </c>
    </row>
    <row r="1176" spans="1:2">
      <c r="A1176" t="s">
        <v>2570</v>
      </c>
      <c r="B1176">
        <v>0.5</v>
      </c>
    </row>
    <row r="1177" spans="1:2">
      <c r="A1177" t="s">
        <v>2571</v>
      </c>
      <c r="B1177">
        <v>0.5</v>
      </c>
    </row>
    <row r="1178" spans="1:2">
      <c r="A1178" t="s">
        <v>2572</v>
      </c>
      <c r="B1178">
        <v>0.5</v>
      </c>
    </row>
    <row r="1179" spans="1:2">
      <c r="A1179" t="s">
        <v>2573</v>
      </c>
      <c r="B1179">
        <v>0.5</v>
      </c>
    </row>
    <row r="1180" spans="1:2">
      <c r="A1180" t="s">
        <v>2574</v>
      </c>
      <c r="B1180">
        <v>0.5</v>
      </c>
    </row>
    <row r="1181" spans="1:2">
      <c r="A1181" t="s">
        <v>2575</v>
      </c>
      <c r="B1181">
        <v>0.5</v>
      </c>
    </row>
    <row r="1182" spans="1:2">
      <c r="A1182" t="s">
        <v>2576</v>
      </c>
      <c r="B1182">
        <v>0.5</v>
      </c>
    </row>
    <row r="1183" spans="1:2">
      <c r="A1183" t="s">
        <v>2577</v>
      </c>
      <c r="B1183">
        <v>0.5</v>
      </c>
    </row>
    <row r="1184" spans="1:2">
      <c r="A1184" t="s">
        <v>2578</v>
      </c>
      <c r="B1184">
        <v>0.5</v>
      </c>
    </row>
    <row r="1185" spans="1:2">
      <c r="A1185" t="s">
        <v>2579</v>
      </c>
      <c r="B1185">
        <v>0.5</v>
      </c>
    </row>
    <row r="1186" spans="1:2">
      <c r="A1186" t="s">
        <v>2580</v>
      </c>
      <c r="B1186">
        <v>0.5</v>
      </c>
    </row>
    <row r="1187" spans="1:2">
      <c r="A1187" t="s">
        <v>2581</v>
      </c>
      <c r="B1187">
        <v>0.5</v>
      </c>
    </row>
    <row r="1188" spans="1:2">
      <c r="A1188" t="s">
        <v>2582</v>
      </c>
      <c r="B1188">
        <v>0.5</v>
      </c>
    </row>
    <row r="1189" spans="1:2">
      <c r="A1189" t="s">
        <v>2583</v>
      </c>
      <c r="B1189">
        <v>0.5</v>
      </c>
    </row>
    <row r="1190" spans="1:2">
      <c r="A1190" t="s">
        <v>2584</v>
      </c>
      <c r="B1190">
        <v>0.5</v>
      </c>
    </row>
    <row r="1191" spans="1:2">
      <c r="A1191" t="s">
        <v>2585</v>
      </c>
      <c r="B1191">
        <v>0.5</v>
      </c>
    </row>
    <row r="1192" spans="1:2">
      <c r="A1192" t="s">
        <v>2586</v>
      </c>
      <c r="B1192">
        <v>0.5</v>
      </c>
    </row>
    <row r="1193" spans="1:2">
      <c r="A1193" t="s">
        <v>2587</v>
      </c>
      <c r="B1193">
        <v>0.5</v>
      </c>
    </row>
    <row r="1194" spans="1:2">
      <c r="A1194" t="s">
        <v>2588</v>
      </c>
      <c r="B1194">
        <v>0.5</v>
      </c>
    </row>
    <row r="1195" spans="1:2">
      <c r="A1195" t="s">
        <v>2589</v>
      </c>
      <c r="B1195">
        <v>0.5</v>
      </c>
    </row>
    <row r="1196" spans="1:2">
      <c r="A1196" t="s">
        <v>2590</v>
      </c>
      <c r="B1196">
        <v>0.5</v>
      </c>
    </row>
    <row r="1197" spans="1:2">
      <c r="A1197" t="s">
        <v>2591</v>
      </c>
      <c r="B1197">
        <v>0.5</v>
      </c>
    </row>
    <row r="1198" spans="1:2">
      <c r="A1198" t="s">
        <v>2592</v>
      </c>
      <c r="B1198">
        <v>0.5</v>
      </c>
    </row>
    <row r="1199" spans="1:2">
      <c r="A1199" t="s">
        <v>2593</v>
      </c>
      <c r="B1199">
        <v>0.5</v>
      </c>
    </row>
    <row r="1200" spans="1:2">
      <c r="A1200" t="s">
        <v>2594</v>
      </c>
      <c r="B1200">
        <v>0.5</v>
      </c>
    </row>
    <row r="1201" spans="1:2">
      <c r="A1201" t="s">
        <v>2595</v>
      </c>
      <c r="B1201">
        <v>0.5</v>
      </c>
    </row>
    <row r="1202" spans="1:2">
      <c r="A1202" t="s">
        <v>2596</v>
      </c>
      <c r="B1202">
        <v>0.5</v>
      </c>
    </row>
    <row r="1203" spans="1:2">
      <c r="A1203" t="s">
        <v>2597</v>
      </c>
      <c r="B1203">
        <v>0.5</v>
      </c>
    </row>
    <row r="1204" spans="1:2">
      <c r="A1204" t="s">
        <v>2598</v>
      </c>
      <c r="B1204">
        <v>0.5</v>
      </c>
    </row>
    <row r="1205" spans="1:2">
      <c r="A1205" t="s">
        <v>2599</v>
      </c>
      <c r="B1205">
        <v>0.5</v>
      </c>
    </row>
    <row r="1206" spans="1:2">
      <c r="A1206" t="s">
        <v>2600</v>
      </c>
      <c r="B1206">
        <v>0.5</v>
      </c>
    </row>
    <row r="1207" spans="1:2">
      <c r="A1207" t="s">
        <v>2601</v>
      </c>
      <c r="B1207">
        <v>0.5</v>
      </c>
    </row>
    <row r="1208" spans="1:2">
      <c r="A1208" t="s">
        <v>2602</v>
      </c>
      <c r="B1208">
        <v>0.5</v>
      </c>
    </row>
    <row r="1209" spans="1:2">
      <c r="A1209" t="s">
        <v>2603</v>
      </c>
      <c r="B1209">
        <v>0.5</v>
      </c>
    </row>
    <row r="1210" spans="1:2">
      <c r="A1210" t="s">
        <v>2604</v>
      </c>
      <c r="B1210">
        <v>0.5</v>
      </c>
    </row>
    <row r="1211" spans="1:2">
      <c r="A1211" t="s">
        <v>2605</v>
      </c>
      <c r="B1211">
        <v>0.5</v>
      </c>
    </row>
  </sheetData>
  <sheetProtection algorithmName="SHA-512" hashValue="M2+X9p/dmcRNkyjpwM94XbSijtX8W5Zn7eSkLZZDd8in5GDuW2IkL5oLNZpKtsKt1eCiZ6BsBhiXdle0M/pO3A==" saltValue="R32DK1jC/5daHK/j9QFEgw==" spinCount="100000" sheet="1" objects="1" scenarios="1" selectLockedCells="1"/>
  <phoneticPr fontId="0" type="noConversion"/>
  <printOptions gridLines="1" gridLinesSet="0"/>
  <pageMargins left="0.75" right="0.75" top="1" bottom="1" header="0.5" footer="0.5"/>
  <headerFooter alignWithMargins="0">
    <oddHeader>&amp;A</oddHeader>
    <oddFooter>Sida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2">
    <tabColor theme="0" tint="-0.34998626667073579"/>
  </sheetPr>
  <dimension ref="A1:N61"/>
  <sheetViews>
    <sheetView zoomScaleNormal="100" workbookViewId="0" xr3:uid="{C67EF94B-0B3B-5838-830C-E3A509766221}"/>
  </sheetViews>
  <sheetFormatPr defaultColWidth="9.140625" defaultRowHeight="15"/>
  <cols>
    <col min="1" max="1" width="11.7109375" style="135" customWidth="1"/>
    <col min="2" max="2" width="53.85546875" style="135" bestFit="1" customWidth="1"/>
    <col min="3" max="3" width="11.7109375" style="136" customWidth="1"/>
    <col min="4" max="4" width="11.7109375" style="135" customWidth="1"/>
    <col min="5" max="6" width="9.140625" style="135"/>
    <col min="7" max="7" width="12.5703125" style="135" customWidth="1"/>
    <col min="8" max="13" width="9.140625" style="135"/>
    <col min="14" max="20" width="0" style="135" hidden="1" customWidth="1"/>
    <col min="21" max="16384" width="9.140625" style="135"/>
  </cols>
  <sheetData>
    <row r="1" spans="1:14">
      <c r="A1" s="133"/>
      <c r="B1" s="134" t="s">
        <v>438</v>
      </c>
      <c r="C1" s="135"/>
    </row>
    <row r="2" spans="1:14">
      <c r="A2" s="133"/>
      <c r="B2" s="133"/>
      <c r="C2" s="135"/>
    </row>
    <row r="3" spans="1:14">
      <c r="A3" s="133"/>
      <c r="B3" s="137" t="s">
        <v>2606</v>
      </c>
      <c r="C3" s="133"/>
    </row>
    <row r="4" spans="1:14">
      <c r="A4" s="133"/>
      <c r="B4" s="137" t="s">
        <v>2607</v>
      </c>
      <c r="C4" s="137" t="s">
        <v>2608</v>
      </c>
      <c r="D4" s="137" t="s">
        <v>2609</v>
      </c>
      <c r="E4" s="138" t="s">
        <v>2610</v>
      </c>
      <c r="F4" s="138" t="s">
        <v>2611</v>
      </c>
      <c r="G4" s="138" t="s">
        <v>448</v>
      </c>
      <c r="H4" s="138" t="s">
        <v>2612</v>
      </c>
      <c r="I4" s="138" t="s">
        <v>2613</v>
      </c>
      <c r="J4" s="138" t="s">
        <v>2614</v>
      </c>
      <c r="K4" s="138" t="s">
        <v>2615</v>
      </c>
    </row>
    <row r="5" spans="1:14">
      <c r="A5" s="133"/>
      <c r="B5" s="139" t="str">
        <f>IF('Fakturaunderlag lokalnät'!D11="","",'Fakturaunderlag lokalnät'!D11)</f>
        <v/>
      </c>
      <c r="C5" s="139" t="str">
        <f>IF('Fakturaunderlag lokalnät'!C14="","",'Fakturaunderlag lokalnät'!C14)</f>
        <v/>
      </c>
      <c r="D5" s="139" t="str">
        <f>IF('Fakturaunderlag lokalnät'!C15="","",'Fakturaunderlag lokalnät'!C15)</f>
        <v/>
      </c>
      <c r="E5" s="139" t="str">
        <f>IF('Fakturaunderlag lokalnät'!C17="","",'Fakturaunderlag lokalnät'!C17)</f>
        <v/>
      </c>
      <c r="F5" s="139" t="str">
        <f>IF('Fakturaunderlag lokalnät'!D17="","",'Fakturaunderlag lokalnät'!D17)</f>
        <v/>
      </c>
      <c r="G5" s="139" t="str">
        <f>IF('Fakturaunderlag lokalnät'!G14="","",SUBSTITUTE('Fakturaunderlag lokalnät'!G14," ",))</f>
        <v/>
      </c>
      <c r="H5" s="139" t="str">
        <f>IF('Fakturaunderlag lokalnät'!G17="","",'Fakturaunderlag lokalnät'!G17)</f>
        <v/>
      </c>
      <c r="I5" s="139" t="str">
        <f>IF('Fakturaunderlag lokalnät'!G19="","",'Fakturaunderlag lokalnät'!G19)</f>
        <v/>
      </c>
      <c r="J5" s="139" t="str">
        <f>IF('Fakturaunderlag lokalnät'!J11="","",'Fakturaunderlag lokalnät'!J11)</f>
        <v/>
      </c>
      <c r="K5" s="140">
        <v>1</v>
      </c>
    </row>
    <row r="6" spans="1:14">
      <c r="A6" s="133"/>
      <c r="B6" s="133"/>
      <c r="C6" s="133"/>
      <c r="L6" s="136"/>
    </row>
    <row r="7" spans="1:14">
      <c r="A7" s="133"/>
      <c r="B7" s="137" t="s">
        <v>2616</v>
      </c>
      <c r="C7" s="133"/>
      <c r="K7" s="440" t="s">
        <v>2617</v>
      </c>
      <c r="L7" s="441"/>
    </row>
    <row r="8" spans="1:14" ht="22.5">
      <c r="A8" s="133"/>
      <c r="B8" s="139" t="str">
        <f>IF('Fakturaunderlag lokalnät'!G11="","",'Fakturaunderlag lokalnät'!G11)</f>
        <v/>
      </c>
      <c r="C8" s="133"/>
      <c r="K8" s="341" t="s">
        <v>2618</v>
      </c>
      <c r="L8" s="341" t="s">
        <v>2619</v>
      </c>
    </row>
    <row r="9" spans="1:14" ht="15.75">
      <c r="A9" s="133"/>
      <c r="B9" s="133"/>
      <c r="C9" s="141" t="s">
        <v>2620</v>
      </c>
      <c r="K9" s="255">
        <f>'Fakturaunderlag lokalnät'!P14</f>
        <v>300</v>
      </c>
      <c r="L9" s="255">
        <f>'Fakturaunderlag lokalnät'!Q14</f>
        <v>300</v>
      </c>
    </row>
    <row r="10" spans="1:14">
      <c r="A10" s="143"/>
      <c r="B10" s="155" t="s">
        <v>2621</v>
      </c>
      <c r="C10" s="142" t="s">
        <v>2622</v>
      </c>
      <c r="N10" s="152" t="s">
        <v>462</v>
      </c>
    </row>
    <row r="11" spans="1:14" s="146" customFormat="1" ht="22.5">
      <c r="A11" s="144" t="s">
        <v>2623</v>
      </c>
      <c r="B11" s="144" t="s">
        <v>72</v>
      </c>
      <c r="C11" s="145" t="s">
        <v>2624</v>
      </c>
      <c r="D11" s="145" t="s">
        <v>2625</v>
      </c>
      <c r="E11" s="145" t="s">
        <v>2626</v>
      </c>
      <c r="F11" s="145" t="s">
        <v>2627</v>
      </c>
      <c r="G11" s="145" t="s">
        <v>2628</v>
      </c>
      <c r="H11" s="145" t="s">
        <v>2629</v>
      </c>
      <c r="I11" s="145" t="s">
        <v>2630</v>
      </c>
      <c r="J11" s="145" t="s">
        <v>2631</v>
      </c>
      <c r="K11" s="137" t="s">
        <v>2632</v>
      </c>
      <c r="L11" s="145" t="s">
        <v>2633</v>
      </c>
      <c r="N11" s="147" t="s">
        <v>2634</v>
      </c>
    </row>
    <row r="12" spans="1:14">
      <c r="A12" s="139" t="str">
        <f>_xlfn.IFNA(LEFT(IF(INDEX('Fakturaunderlag lokalnät'!$C$23:$C$65,MATCH($N12,'Fakturaunderlag lokalnät'!$AD$23:$AD$65,0))=0,"",INDEX('Fakturaunderlag lokalnät'!$C$23:$C$65,MATCH($N12,'Fakturaunderlag lokalnät'!$AD$23:$AD$65,0))),3),"")</f>
        <v xml:space="preserve">62 </v>
      </c>
      <c r="B12" s="139" t="str">
        <f>_xlfn.IFNA(IF(INDEX('Fakturaunderlag lokalnät'!$E$23:$E$65,MATCH($N12,'Fakturaunderlag lokalnät'!$AD$23:$AD$65,0))=0,"",INDEX('Fakturaunderlag lokalnät'!$E$23:$E$65,MATCH($N12,'Fakturaunderlag lokalnät'!$AD$23:$AD$65,0))),"")</f>
        <v>Särskild ersättning</v>
      </c>
      <c r="C12" s="135"/>
      <c r="D12" s="140">
        <f>_xlfn.IFNA(IF(INDEX('Fakturaunderlag lokalnät'!$O$23:$O$65,MATCH($N12,'Fakturaunderlag lokalnät'!$AD$23:$AD$65,0))=0,"",INDEX('Fakturaunderlag lokalnät'!$O$23:$O$65,MATCH($N12,'Fakturaunderlag lokalnät'!$AD$23:$AD$65,0))),"")</f>
        <v>1282</v>
      </c>
      <c r="E12" s="140" t="str">
        <f>_xlfn.IFNA(IF(INDEX('Fakturaunderlag lokalnät'!$T$23:$T$65,MATCH($N12,'Fakturaunderlag lokalnät'!$AD$23:$AD$65,0))=0,"",INDEX('Fakturaunderlag lokalnät'!$T$23:$T$65,MATCH($N12,'Fakturaunderlag lokalnät'!$AD$23:$AD$65,0))),"")</f>
        <v/>
      </c>
      <c r="F12" s="140" t="str">
        <f>_xlfn.IFNA(IF(INDEX('Fakturaunderlag lokalnät'!$P$23:$P$65,MATCH($N12,'Fakturaunderlag lokalnät'!$AD$23:$AD$65,0))=0,"",INDEX('Fakturaunderlag lokalnät'!$P$23:$P$65,MATCH($N12,'Fakturaunderlag lokalnät'!$AD$23:$AD$65,0))),"")</f>
        <v/>
      </c>
      <c r="G12" s="140" t="str">
        <f>_xlfn.IFNA(IF(INDEX('Fakturaunderlag lokalnät'!$Q$23:$Q$65,MATCH($N12,'Fakturaunderlag lokalnät'!$AD$23:$AD$65,0))=0,"",INDEX('Fakturaunderlag lokalnät'!$Q$23:$Q$65,MATCH($N12,'Fakturaunderlag lokalnät'!$AD$23:$AD$65,0))),"")</f>
        <v/>
      </c>
      <c r="H12" s="140">
        <f>_xlfn.IFNA(IF(INDEX('Fakturaunderlag lokalnät'!$R$23:$R$65,MATCH($N12,'Fakturaunderlag lokalnät'!$AD$23:$AD$65,0))=0,"",INDEX('Fakturaunderlag lokalnät'!$R$23:$R$65,MATCH($N12,'Fakturaunderlag lokalnät'!$AD$23:$AD$65,0))),"")</f>
        <v>128201</v>
      </c>
      <c r="I12" s="140">
        <f>_xlfn.IFNA(IF(INDEX('Fakturaunderlag lokalnät'!$S$23:$S$65,MATCH($N12,'Fakturaunderlag lokalnät'!$AD$23:$AD$65,0))=0,"",INDEX('Fakturaunderlag lokalnät'!$S$23:$S$65,MATCH($N12,'Fakturaunderlag lokalnät'!$AD$23:$AD$65,0))),"")</f>
        <v>309</v>
      </c>
      <c r="J12" s="153">
        <f>_xlfn.IFNA(IF(INDEX('Fakturaunderlag lokalnät'!$L$23:$L$65,MATCH($N12,'Fakturaunderlag lokalnät'!$AD$23:$AD$65,0))=0,"",INDEX('Fakturaunderlag lokalnät'!$L$23:$L$65,MATCH($N12,'Fakturaunderlag lokalnät'!$AD$23:$AD$65,0))),"")</f>
        <v>300</v>
      </c>
      <c r="K12" s="139" t="str">
        <f>IF(B12="","",IF('Fakturaunderlag lokalnät'!$J$14="","",'Fakturaunderlag lokalnät'!$J$14))</f>
        <v>Omgående</v>
      </c>
      <c r="L12" s="140">
        <f>_xlfn.IFNA(IF(INDEX('Fakturaunderlag lokalnät'!$I$23:$I$65,MATCH($N12,'Fakturaunderlag lokalnät'!$AD$23:$AD$65,0))=0,"",INDEX('Fakturaunderlag lokalnät'!$I$23:$I$65,MATCH($N12,'Fakturaunderlag lokalnät'!$AD$23:$AD$65,0))),"")</f>
        <v>80</v>
      </c>
      <c r="N12" s="148">
        <v>1</v>
      </c>
    </row>
    <row r="13" spans="1:14">
      <c r="A13" s="139" t="str">
        <f>_xlfn.IFNA(LEFT(IF(INDEX('Fakturaunderlag lokalnät'!$C$23:$C$65,MATCH($N13,'Fakturaunderlag lokalnät'!$AD$23:$AD$65,0))=0,"",INDEX('Fakturaunderlag lokalnät'!$C$23:$C$65,MATCH($N13,'Fakturaunderlag lokalnät'!$AD$23:$AD$65,0))),3),"")</f>
        <v/>
      </c>
      <c r="B13" s="139" t="str">
        <f>_xlfn.IFNA(IF(INDEX('Fakturaunderlag lokalnät'!$E$23:$E$65,MATCH($N13,'Fakturaunderlag lokalnät'!$AD$23:$AD$65,0))=0,"",INDEX('Fakturaunderlag lokalnät'!$E$23:$E$65,MATCH($N13,'Fakturaunderlag lokalnät'!$AD$23:$AD$65,0))),"")</f>
        <v/>
      </c>
      <c r="C13" s="135"/>
      <c r="D13" s="140" t="str">
        <f>_xlfn.IFNA(IF(INDEX('Fakturaunderlag lokalnät'!$O$23:$O$65,MATCH($N13,'Fakturaunderlag lokalnät'!$AD$23:$AD$65,0))=0,"",INDEX('Fakturaunderlag lokalnät'!$O$23:$O$65,MATCH($N13,'Fakturaunderlag lokalnät'!$AD$23:$AD$65,0))),"")</f>
        <v/>
      </c>
      <c r="E13" s="140" t="str">
        <f>_xlfn.IFNA(IF(INDEX('Fakturaunderlag lokalnät'!$T$23:$T$65,MATCH($N13,'Fakturaunderlag lokalnät'!$AD$23:$AD$65,0))=0,"",INDEX('Fakturaunderlag lokalnät'!$T$23:$T$65,MATCH($N13,'Fakturaunderlag lokalnät'!$AD$23:$AD$65,0))),"")</f>
        <v/>
      </c>
      <c r="F13" s="140" t="str">
        <f>_xlfn.IFNA(IF(INDEX('Fakturaunderlag lokalnät'!$P$23:$P$65,MATCH($N13,'Fakturaunderlag lokalnät'!$AD$23:$AD$65,0))=0,"",INDEX('Fakturaunderlag lokalnät'!$P$23:$P$65,MATCH($N13,'Fakturaunderlag lokalnät'!$AD$23:$AD$65,0))),"")</f>
        <v/>
      </c>
      <c r="G13" s="140" t="str">
        <f>_xlfn.IFNA(IF(INDEX('Fakturaunderlag lokalnät'!$Q$23:$Q$65,MATCH($N13,'Fakturaunderlag lokalnät'!$AD$23:$AD$65,0))=0,"",INDEX('Fakturaunderlag lokalnät'!$Q$23:$Q$65,MATCH($N13,'Fakturaunderlag lokalnät'!$AD$23:$AD$65,0))),"")</f>
        <v/>
      </c>
      <c r="H13" s="140" t="str">
        <f>_xlfn.IFNA(IF(INDEX('Fakturaunderlag lokalnät'!$R$23:$R$65,MATCH($N13,'Fakturaunderlag lokalnät'!$AD$23:$AD$65,0))=0,"",INDEX('Fakturaunderlag lokalnät'!$R$23:$R$65,MATCH($N13,'Fakturaunderlag lokalnät'!$AD$23:$AD$65,0))),"")</f>
        <v/>
      </c>
      <c r="I13" s="140" t="str">
        <f>_xlfn.IFNA(IF(INDEX('Fakturaunderlag lokalnät'!$S$23:$S$65,MATCH($N13,'Fakturaunderlag lokalnät'!$AD$23:$AD$65,0))=0,"",INDEX('Fakturaunderlag lokalnät'!$S$23:$S$65,MATCH($N13,'Fakturaunderlag lokalnät'!$AD$23:$AD$65,0))),"")</f>
        <v/>
      </c>
      <c r="J13" s="153" t="str">
        <f>_xlfn.IFNA(IF(INDEX('Fakturaunderlag lokalnät'!$L$23:$L$65,MATCH($N13,'Fakturaunderlag lokalnät'!$AD$23:$AD$65,0))=0,"",INDEX('Fakturaunderlag lokalnät'!$L$23:$L$65,MATCH($N13,'Fakturaunderlag lokalnät'!$AD$23:$AD$65,0))),"")</f>
        <v/>
      </c>
      <c r="K13" s="139" t="str">
        <f>IF(B13="","",IF('Fakturaunderlag lokalnät'!$J$14="","",'Fakturaunderlag lokalnät'!$J$14))</f>
        <v/>
      </c>
      <c r="L13" s="140" t="str">
        <f>_xlfn.IFNA(IF(INDEX('Fakturaunderlag lokalnät'!$I$23:$I$65,MATCH($N13,'Fakturaunderlag lokalnät'!$AD$23:$AD$65,0))=0,"",INDEX('Fakturaunderlag lokalnät'!$I$23:$I$65,MATCH($N13,'Fakturaunderlag lokalnät'!$AD$23:$AD$65,0))),"")</f>
        <v/>
      </c>
      <c r="N13" s="148">
        <v>2</v>
      </c>
    </row>
    <row r="14" spans="1:14">
      <c r="A14" s="139" t="str">
        <f>_xlfn.IFNA(LEFT(IF(INDEX('Fakturaunderlag lokalnät'!$C$23:$C$65,MATCH($N14,'Fakturaunderlag lokalnät'!$AD$23:$AD$65,0))=0,"",INDEX('Fakturaunderlag lokalnät'!$C$23:$C$65,MATCH($N14,'Fakturaunderlag lokalnät'!$AD$23:$AD$65,0))),3),"")</f>
        <v/>
      </c>
      <c r="B14" s="139" t="str">
        <f>_xlfn.IFNA(IF(INDEX('Fakturaunderlag lokalnät'!$E$23:$E$65,MATCH($N14,'Fakturaunderlag lokalnät'!$AD$23:$AD$65,0))=0,"",INDEX('Fakturaunderlag lokalnät'!$E$23:$E$65,MATCH($N14,'Fakturaunderlag lokalnät'!$AD$23:$AD$65,0))),"")</f>
        <v/>
      </c>
      <c r="C14" s="135"/>
      <c r="D14" s="140" t="str">
        <f>_xlfn.IFNA(IF(INDEX('Fakturaunderlag lokalnät'!$O$23:$O$65,MATCH($N14,'Fakturaunderlag lokalnät'!$AD$23:$AD$65,0))=0,"",INDEX('Fakturaunderlag lokalnät'!$O$23:$O$65,MATCH($N14,'Fakturaunderlag lokalnät'!$AD$23:$AD$65,0))),"")</f>
        <v/>
      </c>
      <c r="E14" s="140" t="str">
        <f>_xlfn.IFNA(IF(INDEX('Fakturaunderlag lokalnät'!$T$23:$T$65,MATCH($N14,'Fakturaunderlag lokalnät'!$AD$23:$AD$65,0))=0,"",INDEX('Fakturaunderlag lokalnät'!$T$23:$T$65,MATCH($N14,'Fakturaunderlag lokalnät'!$AD$23:$AD$65,0))),"")</f>
        <v/>
      </c>
      <c r="F14" s="140" t="str">
        <f>_xlfn.IFNA(IF(INDEX('Fakturaunderlag lokalnät'!$P$23:$P$65,MATCH($N14,'Fakturaunderlag lokalnät'!$AD$23:$AD$65,0))=0,"",INDEX('Fakturaunderlag lokalnät'!$P$23:$P$65,MATCH($N14,'Fakturaunderlag lokalnät'!$AD$23:$AD$65,0))),"")</f>
        <v/>
      </c>
      <c r="G14" s="140" t="str">
        <f>_xlfn.IFNA(IF(INDEX('Fakturaunderlag lokalnät'!$Q$23:$Q$65,MATCH($N14,'Fakturaunderlag lokalnät'!$AD$23:$AD$65,0))=0,"",INDEX('Fakturaunderlag lokalnät'!$Q$23:$Q$65,MATCH($N14,'Fakturaunderlag lokalnät'!$AD$23:$AD$65,0))),"")</f>
        <v/>
      </c>
      <c r="H14" s="140" t="str">
        <f>_xlfn.IFNA(IF(INDEX('Fakturaunderlag lokalnät'!$R$23:$R$65,MATCH($N14,'Fakturaunderlag lokalnät'!$AD$23:$AD$65,0))=0,"",INDEX('Fakturaunderlag lokalnät'!$R$23:$R$65,MATCH($N14,'Fakturaunderlag lokalnät'!$AD$23:$AD$65,0))),"")</f>
        <v/>
      </c>
      <c r="I14" s="140" t="str">
        <f>_xlfn.IFNA(IF(INDEX('Fakturaunderlag lokalnät'!$S$23:$S$65,MATCH($N14,'Fakturaunderlag lokalnät'!$AD$23:$AD$65,0))=0,"",INDEX('Fakturaunderlag lokalnät'!$S$23:$S$65,MATCH($N14,'Fakturaunderlag lokalnät'!$AD$23:$AD$65,0))),"")</f>
        <v/>
      </c>
      <c r="J14" s="153" t="str">
        <f>_xlfn.IFNA(IF(INDEX('Fakturaunderlag lokalnät'!$L$23:$L$65,MATCH($N14,'Fakturaunderlag lokalnät'!$AD$23:$AD$65,0))=0,"",INDEX('Fakturaunderlag lokalnät'!$L$23:$L$65,MATCH($N14,'Fakturaunderlag lokalnät'!$AD$23:$AD$65,0))),"")</f>
        <v/>
      </c>
      <c r="K14" s="139" t="str">
        <f>IF(B14="","",IF('Fakturaunderlag lokalnät'!$J$14="","",'Fakturaunderlag lokalnät'!$J$14))</f>
        <v/>
      </c>
      <c r="L14" s="140" t="str">
        <f>_xlfn.IFNA(IF(INDEX('Fakturaunderlag lokalnät'!$I$23:$I$65,MATCH($N14,'Fakturaunderlag lokalnät'!$AD$23:$AD$65,0))=0,"",INDEX('Fakturaunderlag lokalnät'!$I$23:$I$65,MATCH($N14,'Fakturaunderlag lokalnät'!$AD$23:$AD$65,0))),"")</f>
        <v/>
      </c>
      <c r="N14" s="148">
        <v>3</v>
      </c>
    </row>
    <row r="15" spans="1:14">
      <c r="A15" s="139" t="str">
        <f>_xlfn.IFNA(LEFT(IF(INDEX('Fakturaunderlag lokalnät'!$C$23:$C$65,MATCH($N15,'Fakturaunderlag lokalnät'!$AD$23:$AD$65,0))=0,"",INDEX('Fakturaunderlag lokalnät'!$C$23:$C$65,MATCH($N15,'Fakturaunderlag lokalnät'!$AD$23:$AD$65,0))),3),"")</f>
        <v/>
      </c>
      <c r="B15" s="139" t="str">
        <f>_xlfn.IFNA(IF(INDEX('Fakturaunderlag lokalnät'!$E$23:$E$65,MATCH($N15,'Fakturaunderlag lokalnät'!$AD$23:$AD$65,0))=0,"",INDEX('Fakturaunderlag lokalnät'!$E$23:$E$65,MATCH($N15,'Fakturaunderlag lokalnät'!$AD$23:$AD$65,0))),"")</f>
        <v/>
      </c>
      <c r="C15" s="135"/>
      <c r="D15" s="140" t="str">
        <f>_xlfn.IFNA(IF(INDEX('Fakturaunderlag lokalnät'!$O$23:$O$65,MATCH($N15,'Fakturaunderlag lokalnät'!$AD$23:$AD$65,0))=0,"",INDEX('Fakturaunderlag lokalnät'!$O$23:$O$65,MATCH($N15,'Fakturaunderlag lokalnät'!$AD$23:$AD$65,0))),"")</f>
        <v/>
      </c>
      <c r="E15" s="140" t="str">
        <f>_xlfn.IFNA(IF(INDEX('Fakturaunderlag lokalnät'!$T$23:$T$65,MATCH($N15,'Fakturaunderlag lokalnät'!$AD$23:$AD$65,0))=0,"",INDEX('Fakturaunderlag lokalnät'!$T$23:$T$65,MATCH($N15,'Fakturaunderlag lokalnät'!$AD$23:$AD$65,0))),"")</f>
        <v/>
      </c>
      <c r="F15" s="140" t="str">
        <f>_xlfn.IFNA(IF(INDEX('Fakturaunderlag lokalnät'!$P$23:$P$65,MATCH($N15,'Fakturaunderlag lokalnät'!$AD$23:$AD$65,0))=0,"",INDEX('Fakturaunderlag lokalnät'!$P$23:$P$65,MATCH($N15,'Fakturaunderlag lokalnät'!$AD$23:$AD$65,0))),"")</f>
        <v/>
      </c>
      <c r="G15" s="140" t="str">
        <f>_xlfn.IFNA(IF(INDEX('Fakturaunderlag lokalnät'!$Q$23:$Q$65,MATCH($N15,'Fakturaunderlag lokalnät'!$AD$23:$AD$65,0))=0,"",INDEX('Fakturaunderlag lokalnät'!$Q$23:$Q$65,MATCH($N15,'Fakturaunderlag lokalnät'!$AD$23:$AD$65,0))),"")</f>
        <v/>
      </c>
      <c r="H15" s="140" t="str">
        <f>_xlfn.IFNA(IF(INDEX('Fakturaunderlag lokalnät'!$R$23:$R$65,MATCH($N15,'Fakturaunderlag lokalnät'!$AD$23:$AD$65,0))=0,"",INDEX('Fakturaunderlag lokalnät'!$R$23:$R$65,MATCH($N15,'Fakturaunderlag lokalnät'!$AD$23:$AD$65,0))),"")</f>
        <v/>
      </c>
      <c r="I15" s="140" t="str">
        <f>_xlfn.IFNA(IF(INDEX('Fakturaunderlag lokalnät'!$S$23:$S$65,MATCH($N15,'Fakturaunderlag lokalnät'!$AD$23:$AD$65,0))=0,"",INDEX('Fakturaunderlag lokalnät'!$S$23:$S$65,MATCH($N15,'Fakturaunderlag lokalnät'!$AD$23:$AD$65,0))),"")</f>
        <v/>
      </c>
      <c r="J15" s="153" t="str">
        <f>_xlfn.IFNA(IF(INDEX('Fakturaunderlag lokalnät'!$L$23:$L$65,MATCH($N15,'Fakturaunderlag lokalnät'!$AD$23:$AD$65,0))=0,"",INDEX('Fakturaunderlag lokalnät'!$L$23:$L$65,MATCH($N15,'Fakturaunderlag lokalnät'!$AD$23:$AD$65,0))),"")</f>
        <v/>
      </c>
      <c r="K15" s="139" t="str">
        <f>IF(B15="","",IF('Fakturaunderlag lokalnät'!$J$14="","",'Fakturaunderlag lokalnät'!$J$14))</f>
        <v/>
      </c>
      <c r="L15" s="140" t="str">
        <f>_xlfn.IFNA(IF(INDEX('Fakturaunderlag lokalnät'!$I$23:$I$65,MATCH($N15,'Fakturaunderlag lokalnät'!$AD$23:$AD$65,0))=0,"",INDEX('Fakturaunderlag lokalnät'!$I$23:$I$65,MATCH($N15,'Fakturaunderlag lokalnät'!$AD$23:$AD$65,0))),"")</f>
        <v/>
      </c>
      <c r="N15" s="148">
        <v>4</v>
      </c>
    </row>
    <row r="16" spans="1:14">
      <c r="A16" s="139" t="str">
        <f>_xlfn.IFNA(LEFT(IF(INDEX('Fakturaunderlag lokalnät'!$C$23:$C$65,MATCH($N16,'Fakturaunderlag lokalnät'!$AD$23:$AD$65,0))=0,"",INDEX('Fakturaunderlag lokalnät'!$C$23:$C$65,MATCH($N16,'Fakturaunderlag lokalnät'!$AD$23:$AD$65,0))),3),"")</f>
        <v/>
      </c>
      <c r="B16" s="139" t="str">
        <f>_xlfn.IFNA(IF(INDEX('Fakturaunderlag lokalnät'!$E$23:$E$65,MATCH($N16,'Fakturaunderlag lokalnät'!$AD$23:$AD$65,0))=0,"",INDEX('Fakturaunderlag lokalnät'!$E$23:$E$65,MATCH($N16,'Fakturaunderlag lokalnät'!$AD$23:$AD$65,0))),"")</f>
        <v/>
      </c>
      <c r="C16" s="135"/>
      <c r="D16" s="140" t="str">
        <f>_xlfn.IFNA(IF(INDEX('Fakturaunderlag lokalnät'!$O$23:$O$65,MATCH($N16,'Fakturaunderlag lokalnät'!$AD$23:$AD$65,0))=0,"",INDEX('Fakturaunderlag lokalnät'!$O$23:$O$65,MATCH($N16,'Fakturaunderlag lokalnät'!$AD$23:$AD$65,0))),"")</f>
        <v/>
      </c>
      <c r="E16" s="140" t="str">
        <f>_xlfn.IFNA(IF(INDEX('Fakturaunderlag lokalnät'!$T$23:$T$65,MATCH($N16,'Fakturaunderlag lokalnät'!$AD$23:$AD$65,0))=0,"",INDEX('Fakturaunderlag lokalnät'!$T$23:$T$65,MATCH($N16,'Fakturaunderlag lokalnät'!$AD$23:$AD$65,0))),"")</f>
        <v/>
      </c>
      <c r="F16" s="140" t="str">
        <f>_xlfn.IFNA(IF(INDEX('Fakturaunderlag lokalnät'!$P$23:$P$65,MATCH($N16,'Fakturaunderlag lokalnät'!$AD$23:$AD$65,0))=0,"",INDEX('Fakturaunderlag lokalnät'!$P$23:$P$65,MATCH($N16,'Fakturaunderlag lokalnät'!$AD$23:$AD$65,0))),"")</f>
        <v/>
      </c>
      <c r="G16" s="140" t="str">
        <f>_xlfn.IFNA(IF(INDEX('Fakturaunderlag lokalnät'!$Q$23:$Q$65,MATCH($N16,'Fakturaunderlag lokalnät'!$AD$23:$AD$65,0))=0,"",INDEX('Fakturaunderlag lokalnät'!$Q$23:$Q$65,MATCH($N16,'Fakturaunderlag lokalnät'!$AD$23:$AD$65,0))),"")</f>
        <v/>
      </c>
      <c r="H16" s="140" t="str">
        <f>_xlfn.IFNA(IF(INDEX('Fakturaunderlag lokalnät'!$R$23:$R$65,MATCH($N16,'Fakturaunderlag lokalnät'!$AD$23:$AD$65,0))=0,"",INDEX('Fakturaunderlag lokalnät'!$R$23:$R$65,MATCH($N16,'Fakturaunderlag lokalnät'!$AD$23:$AD$65,0))),"")</f>
        <v/>
      </c>
      <c r="I16" s="140" t="str">
        <f>_xlfn.IFNA(IF(INDEX('Fakturaunderlag lokalnät'!$S$23:$S$65,MATCH($N16,'Fakturaunderlag lokalnät'!$AD$23:$AD$65,0))=0,"",INDEX('Fakturaunderlag lokalnät'!$S$23:$S$65,MATCH($N16,'Fakturaunderlag lokalnät'!$AD$23:$AD$65,0))),"")</f>
        <v/>
      </c>
      <c r="J16" s="153" t="str">
        <f>_xlfn.IFNA(IF(INDEX('Fakturaunderlag lokalnät'!$L$23:$L$65,MATCH($N16,'Fakturaunderlag lokalnät'!$AD$23:$AD$65,0))=0,"",INDEX('Fakturaunderlag lokalnät'!$L$23:$L$65,MATCH($N16,'Fakturaunderlag lokalnät'!$AD$23:$AD$65,0))),"")</f>
        <v/>
      </c>
      <c r="K16" s="139" t="str">
        <f>IF(B16="","",IF('Fakturaunderlag lokalnät'!$J$14="","",'Fakturaunderlag lokalnät'!$J$14))</f>
        <v/>
      </c>
      <c r="L16" s="140" t="str">
        <f>_xlfn.IFNA(IF(INDEX('Fakturaunderlag lokalnät'!$I$23:$I$65,MATCH($N16,'Fakturaunderlag lokalnät'!$AD$23:$AD$65,0))=0,"",INDEX('Fakturaunderlag lokalnät'!$I$23:$I$65,MATCH($N16,'Fakturaunderlag lokalnät'!$AD$23:$AD$65,0))),"")</f>
        <v/>
      </c>
      <c r="N16" s="148">
        <v>5</v>
      </c>
    </row>
    <row r="17" spans="1:14">
      <c r="A17" s="139" t="str">
        <f>_xlfn.IFNA(LEFT(IF(INDEX('Fakturaunderlag lokalnät'!$C$23:$C$65,MATCH($N17,'Fakturaunderlag lokalnät'!$AD$23:$AD$65,0))=0,"",INDEX('Fakturaunderlag lokalnät'!$C$23:$C$65,MATCH($N17,'Fakturaunderlag lokalnät'!$AD$23:$AD$65,0))),3),"")</f>
        <v/>
      </c>
      <c r="B17" s="139" t="str">
        <f>_xlfn.IFNA(IF(INDEX('Fakturaunderlag lokalnät'!$E$23:$E$65,MATCH($N17,'Fakturaunderlag lokalnät'!$AD$23:$AD$65,0))=0,"",INDEX('Fakturaunderlag lokalnät'!$E$23:$E$65,MATCH($N17,'Fakturaunderlag lokalnät'!$AD$23:$AD$65,0))),"")</f>
        <v/>
      </c>
      <c r="C17" s="135"/>
      <c r="D17" s="140" t="str">
        <f>_xlfn.IFNA(IF(INDEX('Fakturaunderlag lokalnät'!$O$23:$O$65,MATCH($N17,'Fakturaunderlag lokalnät'!$AD$23:$AD$65,0))=0,"",INDEX('Fakturaunderlag lokalnät'!$O$23:$O$65,MATCH($N17,'Fakturaunderlag lokalnät'!$AD$23:$AD$65,0))),"")</f>
        <v/>
      </c>
      <c r="E17" s="140" t="str">
        <f>_xlfn.IFNA(IF(INDEX('Fakturaunderlag lokalnät'!$T$23:$T$65,MATCH($N17,'Fakturaunderlag lokalnät'!$AD$23:$AD$65,0))=0,"",INDEX('Fakturaunderlag lokalnät'!$T$23:$T$65,MATCH($N17,'Fakturaunderlag lokalnät'!$AD$23:$AD$65,0))),"")</f>
        <v/>
      </c>
      <c r="F17" s="140" t="str">
        <f>_xlfn.IFNA(IF(INDEX('Fakturaunderlag lokalnät'!$P$23:$P$65,MATCH($N17,'Fakturaunderlag lokalnät'!$AD$23:$AD$65,0))=0,"",INDEX('Fakturaunderlag lokalnät'!$P$23:$P$65,MATCH($N17,'Fakturaunderlag lokalnät'!$AD$23:$AD$65,0))),"")</f>
        <v/>
      </c>
      <c r="G17" s="140" t="str">
        <f>_xlfn.IFNA(IF(INDEX('Fakturaunderlag lokalnät'!$Q$23:$Q$65,MATCH($N17,'Fakturaunderlag lokalnät'!$AD$23:$AD$65,0))=0,"",INDEX('Fakturaunderlag lokalnät'!$Q$23:$Q$65,MATCH($N17,'Fakturaunderlag lokalnät'!$AD$23:$AD$65,0))),"")</f>
        <v/>
      </c>
      <c r="H17" s="140" t="str">
        <f>_xlfn.IFNA(IF(INDEX('Fakturaunderlag lokalnät'!$R$23:$R$65,MATCH($N17,'Fakturaunderlag lokalnät'!$AD$23:$AD$65,0))=0,"",INDEX('Fakturaunderlag lokalnät'!$R$23:$R$65,MATCH($N17,'Fakturaunderlag lokalnät'!$AD$23:$AD$65,0))),"")</f>
        <v/>
      </c>
      <c r="I17" s="140" t="str">
        <f>_xlfn.IFNA(IF(INDEX('Fakturaunderlag lokalnät'!$S$23:$S$65,MATCH($N17,'Fakturaunderlag lokalnät'!$AD$23:$AD$65,0))=0,"",INDEX('Fakturaunderlag lokalnät'!$S$23:$S$65,MATCH($N17,'Fakturaunderlag lokalnät'!$AD$23:$AD$65,0))),"")</f>
        <v/>
      </c>
      <c r="J17" s="153" t="str">
        <f>_xlfn.IFNA(IF(INDEX('Fakturaunderlag lokalnät'!$L$23:$L$65,MATCH($N17,'Fakturaunderlag lokalnät'!$AD$23:$AD$65,0))=0,"",INDEX('Fakturaunderlag lokalnät'!$L$23:$L$65,MATCH($N17,'Fakturaunderlag lokalnät'!$AD$23:$AD$65,0))),"")</f>
        <v/>
      </c>
      <c r="K17" s="139" t="str">
        <f>IF(B17="","",IF('Fakturaunderlag lokalnät'!$J$14="","",'Fakturaunderlag lokalnät'!$J$14))</f>
        <v/>
      </c>
      <c r="L17" s="140" t="str">
        <f>_xlfn.IFNA(IF(INDEX('Fakturaunderlag lokalnät'!$I$23:$I$65,MATCH($N17,'Fakturaunderlag lokalnät'!$AD$23:$AD$65,0))=0,"",INDEX('Fakturaunderlag lokalnät'!$I$23:$I$65,MATCH($N17,'Fakturaunderlag lokalnät'!$AD$23:$AD$65,0))),"")</f>
        <v/>
      </c>
      <c r="N17" s="148">
        <v>6</v>
      </c>
    </row>
    <row r="18" spans="1:14">
      <c r="A18" s="139" t="str">
        <f>_xlfn.IFNA(LEFT(IF(INDEX('Fakturaunderlag lokalnät'!$C$23:$C$65,MATCH($N18,'Fakturaunderlag lokalnät'!$AD$23:$AD$65,0))=0,"",INDEX('Fakturaunderlag lokalnät'!$C$23:$C$65,MATCH($N18,'Fakturaunderlag lokalnät'!$AD$23:$AD$65,0))),3),"")</f>
        <v/>
      </c>
      <c r="B18" s="139" t="str">
        <f>_xlfn.IFNA(IF(INDEX('Fakturaunderlag lokalnät'!$E$23:$E$65,MATCH($N18,'Fakturaunderlag lokalnät'!$AD$23:$AD$65,0))=0,"",INDEX('Fakturaunderlag lokalnät'!$E$23:$E$65,MATCH($N18,'Fakturaunderlag lokalnät'!$AD$23:$AD$65,0))),"")</f>
        <v/>
      </c>
      <c r="C18" s="135"/>
      <c r="D18" s="140" t="str">
        <f>_xlfn.IFNA(IF(INDEX('Fakturaunderlag lokalnät'!$O$23:$O$65,MATCH($N18,'Fakturaunderlag lokalnät'!$AD$23:$AD$65,0))=0,"",INDEX('Fakturaunderlag lokalnät'!$O$23:$O$65,MATCH($N18,'Fakturaunderlag lokalnät'!$AD$23:$AD$65,0))),"")</f>
        <v/>
      </c>
      <c r="E18" s="140" t="str">
        <f>_xlfn.IFNA(IF(INDEX('Fakturaunderlag lokalnät'!$T$23:$T$65,MATCH($N18,'Fakturaunderlag lokalnät'!$AD$23:$AD$65,0))=0,"",INDEX('Fakturaunderlag lokalnät'!$T$23:$T$65,MATCH($N18,'Fakturaunderlag lokalnät'!$AD$23:$AD$65,0))),"")</f>
        <v/>
      </c>
      <c r="F18" s="140" t="str">
        <f>_xlfn.IFNA(IF(INDEX('Fakturaunderlag lokalnät'!$P$23:$P$65,MATCH($N18,'Fakturaunderlag lokalnät'!$AD$23:$AD$65,0))=0,"",INDEX('Fakturaunderlag lokalnät'!$P$23:$P$65,MATCH($N18,'Fakturaunderlag lokalnät'!$AD$23:$AD$65,0))),"")</f>
        <v/>
      </c>
      <c r="G18" s="140" t="str">
        <f>_xlfn.IFNA(IF(INDEX('Fakturaunderlag lokalnät'!$Q$23:$Q$65,MATCH($N18,'Fakturaunderlag lokalnät'!$AD$23:$AD$65,0))=0,"",INDEX('Fakturaunderlag lokalnät'!$Q$23:$Q$65,MATCH($N18,'Fakturaunderlag lokalnät'!$AD$23:$AD$65,0))),"")</f>
        <v/>
      </c>
      <c r="H18" s="140" t="str">
        <f>_xlfn.IFNA(IF(INDEX('Fakturaunderlag lokalnät'!$R$23:$R$65,MATCH($N18,'Fakturaunderlag lokalnät'!$AD$23:$AD$65,0))=0,"",INDEX('Fakturaunderlag lokalnät'!$R$23:$R$65,MATCH($N18,'Fakturaunderlag lokalnät'!$AD$23:$AD$65,0))),"")</f>
        <v/>
      </c>
      <c r="I18" s="140" t="str">
        <f>_xlfn.IFNA(IF(INDEX('Fakturaunderlag lokalnät'!$S$23:$S$65,MATCH($N18,'Fakturaunderlag lokalnät'!$AD$23:$AD$65,0))=0,"",INDEX('Fakturaunderlag lokalnät'!$S$23:$S$65,MATCH($N18,'Fakturaunderlag lokalnät'!$AD$23:$AD$65,0))),"")</f>
        <v/>
      </c>
      <c r="J18" s="153" t="str">
        <f>_xlfn.IFNA(IF(INDEX('Fakturaunderlag lokalnät'!$L$23:$L$65,MATCH($N18,'Fakturaunderlag lokalnät'!$AD$23:$AD$65,0))=0,"",INDEX('Fakturaunderlag lokalnät'!$L$23:$L$65,MATCH($N18,'Fakturaunderlag lokalnät'!$AD$23:$AD$65,0))),"")</f>
        <v/>
      </c>
      <c r="K18" s="139" t="str">
        <f>IF(B18="","",IF('Fakturaunderlag lokalnät'!$J$14="","",'Fakturaunderlag lokalnät'!$J$14))</f>
        <v/>
      </c>
      <c r="L18" s="140" t="str">
        <f>_xlfn.IFNA(IF(INDEX('Fakturaunderlag lokalnät'!$I$23:$I$65,MATCH($N18,'Fakturaunderlag lokalnät'!$AD$23:$AD$65,0))=0,"",INDEX('Fakturaunderlag lokalnät'!$I$23:$I$65,MATCH($N18,'Fakturaunderlag lokalnät'!$AD$23:$AD$65,0))),"")</f>
        <v/>
      </c>
      <c r="N18" s="148">
        <v>7</v>
      </c>
    </row>
    <row r="19" spans="1:14">
      <c r="A19" s="139" t="str">
        <f>_xlfn.IFNA(LEFT(IF(INDEX('Fakturaunderlag lokalnät'!$C$23:$C$65,MATCH($N19,'Fakturaunderlag lokalnät'!$AD$23:$AD$65,0))=0,"",INDEX('Fakturaunderlag lokalnät'!$C$23:$C$65,MATCH($N19,'Fakturaunderlag lokalnät'!$AD$23:$AD$65,0))),3),"")</f>
        <v/>
      </c>
      <c r="B19" s="139" t="str">
        <f>_xlfn.IFNA(IF(INDEX('Fakturaunderlag lokalnät'!$E$23:$E$65,MATCH($N19,'Fakturaunderlag lokalnät'!$AD$23:$AD$65,0))=0,"",INDEX('Fakturaunderlag lokalnät'!$E$23:$E$65,MATCH($N19,'Fakturaunderlag lokalnät'!$AD$23:$AD$65,0))),"")</f>
        <v/>
      </c>
      <c r="C19" s="135"/>
      <c r="D19" s="140" t="str">
        <f>_xlfn.IFNA(IF(INDEX('Fakturaunderlag lokalnät'!$O$23:$O$65,MATCH($N19,'Fakturaunderlag lokalnät'!$AD$23:$AD$65,0))=0,"",INDEX('Fakturaunderlag lokalnät'!$O$23:$O$65,MATCH($N19,'Fakturaunderlag lokalnät'!$AD$23:$AD$65,0))),"")</f>
        <v/>
      </c>
      <c r="E19" s="140" t="str">
        <f>_xlfn.IFNA(IF(INDEX('Fakturaunderlag lokalnät'!$T$23:$T$65,MATCH($N19,'Fakturaunderlag lokalnät'!$AD$23:$AD$65,0))=0,"",INDEX('Fakturaunderlag lokalnät'!$T$23:$T$65,MATCH($N19,'Fakturaunderlag lokalnät'!$AD$23:$AD$65,0))),"")</f>
        <v/>
      </c>
      <c r="F19" s="140" t="str">
        <f>_xlfn.IFNA(IF(INDEX('Fakturaunderlag lokalnät'!$P$23:$P$65,MATCH($N19,'Fakturaunderlag lokalnät'!$AD$23:$AD$65,0))=0,"",INDEX('Fakturaunderlag lokalnät'!$P$23:$P$65,MATCH($N19,'Fakturaunderlag lokalnät'!$AD$23:$AD$65,0))),"")</f>
        <v/>
      </c>
      <c r="G19" s="140" t="str">
        <f>_xlfn.IFNA(IF(INDEX('Fakturaunderlag lokalnät'!$Q$23:$Q$65,MATCH($N19,'Fakturaunderlag lokalnät'!$AD$23:$AD$65,0))=0,"",INDEX('Fakturaunderlag lokalnät'!$Q$23:$Q$65,MATCH($N19,'Fakturaunderlag lokalnät'!$AD$23:$AD$65,0))),"")</f>
        <v/>
      </c>
      <c r="H19" s="140" t="str">
        <f>_xlfn.IFNA(IF(INDEX('Fakturaunderlag lokalnät'!$R$23:$R$65,MATCH($N19,'Fakturaunderlag lokalnät'!$AD$23:$AD$65,0))=0,"",INDEX('Fakturaunderlag lokalnät'!$R$23:$R$65,MATCH($N19,'Fakturaunderlag lokalnät'!$AD$23:$AD$65,0))),"")</f>
        <v/>
      </c>
      <c r="I19" s="140" t="str">
        <f>_xlfn.IFNA(IF(INDEX('Fakturaunderlag lokalnät'!$S$23:$S$65,MATCH($N19,'Fakturaunderlag lokalnät'!$AD$23:$AD$65,0))=0,"",INDEX('Fakturaunderlag lokalnät'!$S$23:$S$65,MATCH($N19,'Fakturaunderlag lokalnät'!$AD$23:$AD$65,0))),"")</f>
        <v/>
      </c>
      <c r="J19" s="153" t="str">
        <f>_xlfn.IFNA(IF(INDEX('Fakturaunderlag lokalnät'!$L$23:$L$65,MATCH($N19,'Fakturaunderlag lokalnät'!$AD$23:$AD$65,0))=0,"",INDEX('Fakturaunderlag lokalnät'!$L$23:$L$65,MATCH($N19,'Fakturaunderlag lokalnät'!$AD$23:$AD$65,0))),"")</f>
        <v/>
      </c>
      <c r="K19" s="139" t="str">
        <f>IF(B19="","",IF('Fakturaunderlag lokalnät'!$J$14="","",'Fakturaunderlag lokalnät'!$J$14))</f>
        <v/>
      </c>
      <c r="L19" s="140" t="str">
        <f>_xlfn.IFNA(IF(INDEX('Fakturaunderlag lokalnät'!$I$23:$I$65,MATCH($N19,'Fakturaunderlag lokalnät'!$AD$23:$AD$65,0))=0,"",INDEX('Fakturaunderlag lokalnät'!$I$23:$I$65,MATCH($N19,'Fakturaunderlag lokalnät'!$AD$23:$AD$65,0))),"")</f>
        <v/>
      </c>
      <c r="N19" s="148">
        <v>8</v>
      </c>
    </row>
    <row r="20" spans="1:14">
      <c r="A20" s="139" t="str">
        <f>_xlfn.IFNA(LEFT(IF(INDEX('Fakturaunderlag lokalnät'!$C$23:$C$65,MATCH($N20,'Fakturaunderlag lokalnät'!$AD$23:$AD$65,0))=0,"",INDEX('Fakturaunderlag lokalnät'!$C$23:$C$65,MATCH($N20,'Fakturaunderlag lokalnät'!$AD$23:$AD$65,0))),3),"")</f>
        <v/>
      </c>
      <c r="B20" s="139" t="str">
        <f>_xlfn.IFNA(IF(INDEX('Fakturaunderlag lokalnät'!$E$23:$E$65,MATCH($N20,'Fakturaunderlag lokalnät'!$AD$23:$AD$65,0))=0,"",INDEX('Fakturaunderlag lokalnät'!$E$23:$E$65,MATCH($N20,'Fakturaunderlag lokalnät'!$AD$23:$AD$65,0))),"")</f>
        <v/>
      </c>
      <c r="C20" s="135"/>
      <c r="D20" s="140" t="str">
        <f>_xlfn.IFNA(IF(INDEX('Fakturaunderlag lokalnät'!$O$23:$O$65,MATCH($N20,'Fakturaunderlag lokalnät'!$AD$23:$AD$65,0))=0,"",INDEX('Fakturaunderlag lokalnät'!$O$23:$O$65,MATCH($N20,'Fakturaunderlag lokalnät'!$AD$23:$AD$65,0))),"")</f>
        <v/>
      </c>
      <c r="E20" s="140" t="str">
        <f>_xlfn.IFNA(IF(INDEX('Fakturaunderlag lokalnät'!$T$23:$T$65,MATCH($N20,'Fakturaunderlag lokalnät'!$AD$23:$AD$65,0))=0,"",INDEX('Fakturaunderlag lokalnät'!$T$23:$T$65,MATCH($N20,'Fakturaunderlag lokalnät'!$AD$23:$AD$65,0))),"")</f>
        <v/>
      </c>
      <c r="F20" s="140" t="str">
        <f>_xlfn.IFNA(IF(INDEX('Fakturaunderlag lokalnät'!$P$23:$P$65,MATCH($N20,'Fakturaunderlag lokalnät'!$AD$23:$AD$65,0))=0,"",INDEX('Fakturaunderlag lokalnät'!$P$23:$P$65,MATCH($N20,'Fakturaunderlag lokalnät'!$AD$23:$AD$65,0))),"")</f>
        <v/>
      </c>
      <c r="G20" s="140" t="str">
        <f>_xlfn.IFNA(IF(INDEX('Fakturaunderlag lokalnät'!$Q$23:$Q$65,MATCH($N20,'Fakturaunderlag lokalnät'!$AD$23:$AD$65,0))=0,"",INDEX('Fakturaunderlag lokalnät'!$Q$23:$Q$65,MATCH($N20,'Fakturaunderlag lokalnät'!$AD$23:$AD$65,0))),"")</f>
        <v/>
      </c>
      <c r="H20" s="140" t="str">
        <f>_xlfn.IFNA(IF(INDEX('Fakturaunderlag lokalnät'!$R$23:$R$65,MATCH($N20,'Fakturaunderlag lokalnät'!$AD$23:$AD$65,0))=0,"",INDEX('Fakturaunderlag lokalnät'!$R$23:$R$65,MATCH($N20,'Fakturaunderlag lokalnät'!$AD$23:$AD$65,0))),"")</f>
        <v/>
      </c>
      <c r="I20" s="140" t="str">
        <f>_xlfn.IFNA(IF(INDEX('Fakturaunderlag lokalnät'!$S$23:$S$65,MATCH($N20,'Fakturaunderlag lokalnät'!$AD$23:$AD$65,0))=0,"",INDEX('Fakturaunderlag lokalnät'!$S$23:$S$65,MATCH($N20,'Fakturaunderlag lokalnät'!$AD$23:$AD$65,0))),"")</f>
        <v/>
      </c>
      <c r="J20" s="153" t="str">
        <f>_xlfn.IFNA(IF(INDEX('Fakturaunderlag lokalnät'!$L$23:$L$65,MATCH($N20,'Fakturaunderlag lokalnät'!$AD$23:$AD$65,0))=0,"",INDEX('Fakturaunderlag lokalnät'!$L$23:$L$65,MATCH($N20,'Fakturaunderlag lokalnät'!$AD$23:$AD$65,0))),"")</f>
        <v/>
      </c>
      <c r="K20" s="139" t="str">
        <f>IF(B20="","",IF('Fakturaunderlag lokalnät'!$J$14="","",'Fakturaunderlag lokalnät'!$J$14))</f>
        <v/>
      </c>
      <c r="L20" s="140" t="str">
        <f>_xlfn.IFNA(IF(INDEX('Fakturaunderlag lokalnät'!$I$23:$I$65,MATCH($N20,'Fakturaunderlag lokalnät'!$AD$23:$AD$65,0))=0,"",INDEX('Fakturaunderlag lokalnät'!$I$23:$I$65,MATCH($N20,'Fakturaunderlag lokalnät'!$AD$23:$AD$65,0))),"")</f>
        <v/>
      </c>
      <c r="N20" s="148">
        <v>9</v>
      </c>
    </row>
    <row r="21" spans="1:14">
      <c r="A21" s="139" t="str">
        <f>_xlfn.IFNA(LEFT(IF(INDEX('Fakturaunderlag lokalnät'!$C$23:$C$65,MATCH($N21,'Fakturaunderlag lokalnät'!$AD$23:$AD$65,0))=0,"",INDEX('Fakturaunderlag lokalnät'!$C$23:$C$65,MATCH($N21,'Fakturaunderlag lokalnät'!$AD$23:$AD$65,0))),3),"")</f>
        <v/>
      </c>
      <c r="B21" s="139" t="str">
        <f>_xlfn.IFNA(IF(INDEX('Fakturaunderlag lokalnät'!$E$23:$E$65,MATCH($N21,'Fakturaunderlag lokalnät'!$AD$23:$AD$65,0))=0,"",INDEX('Fakturaunderlag lokalnät'!$E$23:$E$65,MATCH($N21,'Fakturaunderlag lokalnät'!$AD$23:$AD$65,0))),"")</f>
        <v/>
      </c>
      <c r="C21" s="135"/>
      <c r="D21" s="140" t="str">
        <f>_xlfn.IFNA(IF(INDEX('Fakturaunderlag lokalnät'!$O$23:$O$65,MATCH($N21,'Fakturaunderlag lokalnät'!$AD$23:$AD$65,0))=0,"",INDEX('Fakturaunderlag lokalnät'!$O$23:$O$65,MATCH($N21,'Fakturaunderlag lokalnät'!$AD$23:$AD$65,0))),"")</f>
        <v/>
      </c>
      <c r="E21" s="140" t="str">
        <f>_xlfn.IFNA(IF(INDEX('Fakturaunderlag lokalnät'!$T$23:$T$65,MATCH($N21,'Fakturaunderlag lokalnät'!$AD$23:$AD$65,0))=0,"",INDEX('Fakturaunderlag lokalnät'!$T$23:$T$65,MATCH($N21,'Fakturaunderlag lokalnät'!$AD$23:$AD$65,0))),"")</f>
        <v/>
      </c>
      <c r="F21" s="140" t="str">
        <f>_xlfn.IFNA(IF(INDEX('Fakturaunderlag lokalnät'!$P$23:$P$65,MATCH($N21,'Fakturaunderlag lokalnät'!$AD$23:$AD$65,0))=0,"",INDEX('Fakturaunderlag lokalnät'!$P$23:$P$65,MATCH($N21,'Fakturaunderlag lokalnät'!$AD$23:$AD$65,0))),"")</f>
        <v/>
      </c>
      <c r="G21" s="140" t="str">
        <f>_xlfn.IFNA(IF(INDEX('Fakturaunderlag lokalnät'!$Q$23:$Q$65,MATCH($N21,'Fakturaunderlag lokalnät'!$AD$23:$AD$65,0))=0,"",INDEX('Fakturaunderlag lokalnät'!$Q$23:$Q$65,MATCH($N21,'Fakturaunderlag lokalnät'!$AD$23:$AD$65,0))),"")</f>
        <v/>
      </c>
      <c r="H21" s="140" t="str">
        <f>_xlfn.IFNA(IF(INDEX('Fakturaunderlag lokalnät'!$R$23:$R$65,MATCH($N21,'Fakturaunderlag lokalnät'!$AD$23:$AD$65,0))=0,"",INDEX('Fakturaunderlag lokalnät'!$R$23:$R$65,MATCH($N21,'Fakturaunderlag lokalnät'!$AD$23:$AD$65,0))),"")</f>
        <v/>
      </c>
      <c r="I21" s="140" t="str">
        <f>_xlfn.IFNA(IF(INDEX('Fakturaunderlag lokalnät'!$S$23:$S$65,MATCH($N21,'Fakturaunderlag lokalnät'!$AD$23:$AD$65,0))=0,"",INDEX('Fakturaunderlag lokalnät'!$S$23:$S$65,MATCH($N21,'Fakturaunderlag lokalnät'!$AD$23:$AD$65,0))),"")</f>
        <v/>
      </c>
      <c r="J21" s="153" t="str">
        <f>_xlfn.IFNA(IF(INDEX('Fakturaunderlag lokalnät'!$L$23:$L$65,MATCH($N21,'Fakturaunderlag lokalnät'!$AD$23:$AD$65,0))=0,"",INDEX('Fakturaunderlag lokalnät'!$L$23:$L$65,MATCH($N21,'Fakturaunderlag lokalnät'!$AD$23:$AD$65,0))),"")</f>
        <v/>
      </c>
      <c r="K21" s="139" t="str">
        <f>IF(B21="","",IF('Fakturaunderlag lokalnät'!$J$14="","",'Fakturaunderlag lokalnät'!$J$14))</f>
        <v/>
      </c>
      <c r="L21" s="140" t="str">
        <f>_xlfn.IFNA(IF(INDEX('Fakturaunderlag lokalnät'!$I$23:$I$65,MATCH($N21,'Fakturaunderlag lokalnät'!$AD$23:$AD$65,0))=0,"",INDEX('Fakturaunderlag lokalnät'!$I$23:$I$65,MATCH($N21,'Fakturaunderlag lokalnät'!$AD$23:$AD$65,0))),"")</f>
        <v/>
      </c>
      <c r="N21" s="148">
        <v>10</v>
      </c>
    </row>
    <row r="22" spans="1:14">
      <c r="A22" s="139" t="str">
        <f>_xlfn.IFNA(LEFT(IF(INDEX('Fakturaunderlag lokalnät'!$C$23:$C$65,MATCH($N22,'Fakturaunderlag lokalnät'!$AD$23:$AD$65,0))=0,"",INDEX('Fakturaunderlag lokalnät'!$C$23:$C$65,MATCH($N22,'Fakturaunderlag lokalnät'!$AD$23:$AD$65,0))),3),"")</f>
        <v/>
      </c>
      <c r="B22" s="139" t="str">
        <f>_xlfn.IFNA(IF(INDEX('Fakturaunderlag lokalnät'!$E$23:$E$65,MATCH($N22,'Fakturaunderlag lokalnät'!$AD$23:$AD$65,0))=0,"",INDEX('Fakturaunderlag lokalnät'!$E$23:$E$65,MATCH($N22,'Fakturaunderlag lokalnät'!$AD$23:$AD$65,0))),"")</f>
        <v/>
      </c>
      <c r="C22" s="135"/>
      <c r="D22" s="140" t="str">
        <f>_xlfn.IFNA(IF(INDEX('Fakturaunderlag lokalnät'!$O$23:$O$65,MATCH($N22,'Fakturaunderlag lokalnät'!$AD$23:$AD$65,0))=0,"",INDEX('Fakturaunderlag lokalnät'!$O$23:$O$65,MATCH($N22,'Fakturaunderlag lokalnät'!$AD$23:$AD$65,0))),"")</f>
        <v/>
      </c>
      <c r="E22" s="140" t="str">
        <f>_xlfn.IFNA(IF(INDEX('Fakturaunderlag lokalnät'!$T$23:$T$65,MATCH($N22,'Fakturaunderlag lokalnät'!$AD$23:$AD$65,0))=0,"",INDEX('Fakturaunderlag lokalnät'!$T$23:$T$65,MATCH($N22,'Fakturaunderlag lokalnät'!$AD$23:$AD$65,0))),"")</f>
        <v/>
      </c>
      <c r="F22" s="140" t="str">
        <f>_xlfn.IFNA(IF(INDEX('Fakturaunderlag lokalnät'!$P$23:$P$65,MATCH($N22,'Fakturaunderlag lokalnät'!$AD$23:$AD$65,0))=0,"",INDEX('Fakturaunderlag lokalnät'!$P$23:$P$65,MATCH($N22,'Fakturaunderlag lokalnät'!$AD$23:$AD$65,0))),"")</f>
        <v/>
      </c>
      <c r="G22" s="140" t="str">
        <f>_xlfn.IFNA(IF(INDEX('Fakturaunderlag lokalnät'!$Q$23:$Q$65,MATCH($N22,'Fakturaunderlag lokalnät'!$AD$23:$AD$65,0))=0,"",INDEX('Fakturaunderlag lokalnät'!$Q$23:$Q$65,MATCH($N22,'Fakturaunderlag lokalnät'!$AD$23:$AD$65,0))),"")</f>
        <v/>
      </c>
      <c r="H22" s="140" t="str">
        <f>_xlfn.IFNA(IF(INDEX('Fakturaunderlag lokalnät'!$R$23:$R$65,MATCH($N22,'Fakturaunderlag lokalnät'!$AD$23:$AD$65,0))=0,"",INDEX('Fakturaunderlag lokalnät'!$R$23:$R$65,MATCH($N22,'Fakturaunderlag lokalnät'!$AD$23:$AD$65,0))),"")</f>
        <v/>
      </c>
      <c r="I22" s="140" t="str">
        <f>_xlfn.IFNA(IF(INDEX('Fakturaunderlag lokalnät'!$S$23:$S$65,MATCH($N22,'Fakturaunderlag lokalnät'!$AD$23:$AD$65,0))=0,"",INDEX('Fakturaunderlag lokalnät'!$S$23:$S$65,MATCH($N22,'Fakturaunderlag lokalnät'!$AD$23:$AD$65,0))),"")</f>
        <v/>
      </c>
      <c r="J22" s="153" t="str">
        <f>_xlfn.IFNA(IF(INDEX('Fakturaunderlag lokalnät'!$L$23:$L$65,MATCH($N22,'Fakturaunderlag lokalnät'!$AD$23:$AD$65,0))=0,"",INDEX('Fakturaunderlag lokalnät'!$L$23:$L$65,MATCH($N22,'Fakturaunderlag lokalnät'!$AD$23:$AD$65,0))),"")</f>
        <v/>
      </c>
      <c r="K22" s="139" t="str">
        <f>IF(B22="","",IF('Fakturaunderlag lokalnät'!$J$14="","",'Fakturaunderlag lokalnät'!$J$14))</f>
        <v/>
      </c>
      <c r="L22" s="140" t="str">
        <f>_xlfn.IFNA(IF(INDEX('Fakturaunderlag lokalnät'!$I$23:$I$65,MATCH($N22,'Fakturaunderlag lokalnät'!$AD$23:$AD$65,0))=0,"",INDEX('Fakturaunderlag lokalnät'!$I$23:$I$65,MATCH($N22,'Fakturaunderlag lokalnät'!$AD$23:$AD$65,0))),"")</f>
        <v/>
      </c>
      <c r="N22" s="148">
        <v>11</v>
      </c>
    </row>
    <row r="23" spans="1:14">
      <c r="A23" s="139" t="str">
        <f>_xlfn.IFNA(LEFT(IF(INDEX('Fakturaunderlag lokalnät'!$C$23:$C$65,MATCH($N23,'Fakturaunderlag lokalnät'!$AD$23:$AD$65,0))=0,"",INDEX('Fakturaunderlag lokalnät'!$C$23:$C$65,MATCH($N23,'Fakturaunderlag lokalnät'!$AD$23:$AD$65,0))),3),"")</f>
        <v/>
      </c>
      <c r="B23" s="139" t="str">
        <f>_xlfn.IFNA(IF(INDEX('Fakturaunderlag lokalnät'!$E$23:$E$65,MATCH($N23,'Fakturaunderlag lokalnät'!$AD$23:$AD$65,0))=0,"",INDEX('Fakturaunderlag lokalnät'!$E$23:$E$65,MATCH($N23,'Fakturaunderlag lokalnät'!$AD$23:$AD$65,0))),"")</f>
        <v/>
      </c>
      <c r="C23" s="135"/>
      <c r="D23" s="140" t="str">
        <f>_xlfn.IFNA(IF(INDEX('Fakturaunderlag lokalnät'!$O$23:$O$65,MATCH($N23,'Fakturaunderlag lokalnät'!$AD$23:$AD$65,0))=0,"",INDEX('Fakturaunderlag lokalnät'!$O$23:$O$65,MATCH($N23,'Fakturaunderlag lokalnät'!$AD$23:$AD$65,0))),"")</f>
        <v/>
      </c>
      <c r="E23" s="140" t="str">
        <f>_xlfn.IFNA(IF(INDEX('Fakturaunderlag lokalnät'!$T$23:$T$65,MATCH($N23,'Fakturaunderlag lokalnät'!$AD$23:$AD$65,0))=0,"",INDEX('Fakturaunderlag lokalnät'!$T$23:$T$65,MATCH($N23,'Fakturaunderlag lokalnät'!$AD$23:$AD$65,0))),"")</f>
        <v/>
      </c>
      <c r="F23" s="140" t="str">
        <f>_xlfn.IFNA(IF(INDEX('Fakturaunderlag lokalnät'!$P$23:$P$65,MATCH($N23,'Fakturaunderlag lokalnät'!$AD$23:$AD$65,0))=0,"",INDEX('Fakturaunderlag lokalnät'!$P$23:$P$65,MATCH($N23,'Fakturaunderlag lokalnät'!$AD$23:$AD$65,0))),"")</f>
        <v/>
      </c>
      <c r="G23" s="140" t="str">
        <f>_xlfn.IFNA(IF(INDEX('Fakturaunderlag lokalnät'!$Q$23:$Q$65,MATCH($N23,'Fakturaunderlag lokalnät'!$AD$23:$AD$65,0))=0,"",INDEX('Fakturaunderlag lokalnät'!$Q$23:$Q$65,MATCH($N23,'Fakturaunderlag lokalnät'!$AD$23:$AD$65,0))),"")</f>
        <v/>
      </c>
      <c r="H23" s="140" t="str">
        <f>_xlfn.IFNA(IF(INDEX('Fakturaunderlag lokalnät'!$R$23:$R$65,MATCH($N23,'Fakturaunderlag lokalnät'!$AD$23:$AD$65,0))=0,"",INDEX('Fakturaunderlag lokalnät'!$R$23:$R$65,MATCH($N23,'Fakturaunderlag lokalnät'!$AD$23:$AD$65,0))),"")</f>
        <v/>
      </c>
      <c r="I23" s="140" t="str">
        <f>_xlfn.IFNA(IF(INDEX('Fakturaunderlag lokalnät'!$S$23:$S$65,MATCH($N23,'Fakturaunderlag lokalnät'!$AD$23:$AD$65,0))=0,"",INDEX('Fakturaunderlag lokalnät'!$S$23:$S$65,MATCH($N23,'Fakturaunderlag lokalnät'!$AD$23:$AD$65,0))),"")</f>
        <v/>
      </c>
      <c r="J23" s="153" t="str">
        <f>_xlfn.IFNA(IF(INDEX('Fakturaunderlag lokalnät'!$L$23:$L$65,MATCH($N23,'Fakturaunderlag lokalnät'!$AD$23:$AD$65,0))=0,"",INDEX('Fakturaunderlag lokalnät'!$L$23:$L$65,MATCH($N23,'Fakturaunderlag lokalnät'!$AD$23:$AD$65,0))),"")</f>
        <v/>
      </c>
      <c r="K23" s="139" t="str">
        <f>IF(B23="","",IF('Fakturaunderlag lokalnät'!$J$14="","",'Fakturaunderlag lokalnät'!$J$14))</f>
        <v/>
      </c>
      <c r="L23" s="140" t="str">
        <f>_xlfn.IFNA(IF(INDEX('Fakturaunderlag lokalnät'!$I$23:$I$65,MATCH($N23,'Fakturaunderlag lokalnät'!$AD$23:$AD$65,0))=0,"",INDEX('Fakturaunderlag lokalnät'!$I$23:$I$65,MATCH($N23,'Fakturaunderlag lokalnät'!$AD$23:$AD$65,0))),"")</f>
        <v/>
      </c>
      <c r="N23" s="148">
        <v>12</v>
      </c>
    </row>
    <row r="24" spans="1:14">
      <c r="A24" s="139" t="str">
        <f>_xlfn.IFNA(LEFT(IF(INDEX('Fakturaunderlag lokalnät'!$C$23:$C$65,MATCH($N24,'Fakturaunderlag lokalnät'!$AD$23:$AD$65,0))=0,"",INDEX('Fakturaunderlag lokalnät'!$C$23:$C$65,MATCH($N24,'Fakturaunderlag lokalnät'!$AD$23:$AD$65,0))),3),"")</f>
        <v/>
      </c>
      <c r="B24" s="139" t="str">
        <f>_xlfn.IFNA(IF(INDEX('Fakturaunderlag lokalnät'!$E$23:$E$65,MATCH($N24,'Fakturaunderlag lokalnät'!$AD$23:$AD$65,0))=0,"",INDEX('Fakturaunderlag lokalnät'!$E$23:$E$65,MATCH($N24,'Fakturaunderlag lokalnät'!$AD$23:$AD$65,0))),"")</f>
        <v/>
      </c>
      <c r="C24" s="135"/>
      <c r="D24" s="140" t="str">
        <f>_xlfn.IFNA(IF(INDEX('Fakturaunderlag lokalnät'!$O$23:$O$65,MATCH($N24,'Fakturaunderlag lokalnät'!$AD$23:$AD$65,0))=0,"",INDEX('Fakturaunderlag lokalnät'!$O$23:$O$65,MATCH($N24,'Fakturaunderlag lokalnät'!$AD$23:$AD$65,0))),"")</f>
        <v/>
      </c>
      <c r="E24" s="140" t="str">
        <f>_xlfn.IFNA(IF(INDEX('Fakturaunderlag lokalnät'!$T$23:$T$65,MATCH($N24,'Fakturaunderlag lokalnät'!$AD$23:$AD$65,0))=0,"",INDEX('Fakturaunderlag lokalnät'!$T$23:$T$65,MATCH($N24,'Fakturaunderlag lokalnät'!$AD$23:$AD$65,0))),"")</f>
        <v/>
      </c>
      <c r="F24" s="140" t="str">
        <f>_xlfn.IFNA(IF(INDEX('Fakturaunderlag lokalnät'!$P$23:$P$65,MATCH($N24,'Fakturaunderlag lokalnät'!$AD$23:$AD$65,0))=0,"",INDEX('Fakturaunderlag lokalnät'!$P$23:$P$65,MATCH($N24,'Fakturaunderlag lokalnät'!$AD$23:$AD$65,0))),"")</f>
        <v/>
      </c>
      <c r="G24" s="140" t="str">
        <f>_xlfn.IFNA(IF(INDEX('Fakturaunderlag lokalnät'!$Q$23:$Q$65,MATCH($N24,'Fakturaunderlag lokalnät'!$AD$23:$AD$65,0))=0,"",INDEX('Fakturaunderlag lokalnät'!$Q$23:$Q$65,MATCH($N24,'Fakturaunderlag lokalnät'!$AD$23:$AD$65,0))),"")</f>
        <v/>
      </c>
      <c r="H24" s="140" t="str">
        <f>_xlfn.IFNA(IF(INDEX('Fakturaunderlag lokalnät'!$R$23:$R$65,MATCH($N24,'Fakturaunderlag lokalnät'!$AD$23:$AD$65,0))=0,"",INDEX('Fakturaunderlag lokalnät'!$R$23:$R$65,MATCH($N24,'Fakturaunderlag lokalnät'!$AD$23:$AD$65,0))),"")</f>
        <v/>
      </c>
      <c r="I24" s="140" t="str">
        <f>_xlfn.IFNA(IF(INDEX('Fakturaunderlag lokalnät'!$S$23:$S$65,MATCH($N24,'Fakturaunderlag lokalnät'!$AD$23:$AD$65,0))=0,"",INDEX('Fakturaunderlag lokalnät'!$S$23:$S$65,MATCH($N24,'Fakturaunderlag lokalnät'!$AD$23:$AD$65,0))),"")</f>
        <v/>
      </c>
      <c r="J24" s="153" t="str">
        <f>_xlfn.IFNA(IF(INDEX('Fakturaunderlag lokalnät'!$L$23:$L$65,MATCH($N24,'Fakturaunderlag lokalnät'!$AD$23:$AD$65,0))=0,"",INDEX('Fakturaunderlag lokalnät'!$L$23:$L$65,MATCH($N24,'Fakturaunderlag lokalnät'!$AD$23:$AD$65,0))),"")</f>
        <v/>
      </c>
      <c r="K24" s="139" t="str">
        <f>IF(B24="","",IF('Fakturaunderlag lokalnät'!$J$14="","",'Fakturaunderlag lokalnät'!$J$14))</f>
        <v/>
      </c>
      <c r="L24" s="140" t="str">
        <f>_xlfn.IFNA(IF(INDEX('Fakturaunderlag lokalnät'!$I$23:$I$65,MATCH($N24,'Fakturaunderlag lokalnät'!$AD$23:$AD$65,0))=0,"",INDEX('Fakturaunderlag lokalnät'!$I$23:$I$65,MATCH($N24,'Fakturaunderlag lokalnät'!$AD$23:$AD$65,0))),"")</f>
        <v/>
      </c>
      <c r="N24" s="148">
        <v>13</v>
      </c>
    </row>
    <row r="25" spans="1:14">
      <c r="A25" s="139" t="str">
        <f>_xlfn.IFNA(LEFT(IF(INDEX('Fakturaunderlag lokalnät'!$C$23:$C$65,MATCH($N25,'Fakturaunderlag lokalnät'!$AD$23:$AD$65,0))=0,"",INDEX('Fakturaunderlag lokalnät'!$C$23:$C$65,MATCH($N25,'Fakturaunderlag lokalnät'!$AD$23:$AD$65,0))),3),"")</f>
        <v/>
      </c>
      <c r="B25" s="139" t="str">
        <f>_xlfn.IFNA(IF(INDEX('Fakturaunderlag lokalnät'!$E$23:$E$65,MATCH($N25,'Fakturaunderlag lokalnät'!$AD$23:$AD$65,0))=0,"",INDEX('Fakturaunderlag lokalnät'!$E$23:$E$65,MATCH($N25,'Fakturaunderlag lokalnät'!$AD$23:$AD$65,0))),"")</f>
        <v/>
      </c>
      <c r="C25" s="135"/>
      <c r="D25" s="140" t="str">
        <f>_xlfn.IFNA(IF(INDEX('Fakturaunderlag lokalnät'!$O$23:$O$65,MATCH($N25,'Fakturaunderlag lokalnät'!$AD$23:$AD$65,0))=0,"",INDEX('Fakturaunderlag lokalnät'!$O$23:$O$65,MATCH($N25,'Fakturaunderlag lokalnät'!$AD$23:$AD$65,0))),"")</f>
        <v/>
      </c>
      <c r="E25" s="140" t="str">
        <f>_xlfn.IFNA(IF(INDEX('Fakturaunderlag lokalnät'!$T$23:$T$65,MATCH($N25,'Fakturaunderlag lokalnät'!$AD$23:$AD$65,0))=0,"",INDEX('Fakturaunderlag lokalnät'!$T$23:$T$65,MATCH($N25,'Fakturaunderlag lokalnät'!$AD$23:$AD$65,0))),"")</f>
        <v/>
      </c>
      <c r="F25" s="140" t="str">
        <f>_xlfn.IFNA(IF(INDEX('Fakturaunderlag lokalnät'!$P$23:$P$65,MATCH($N25,'Fakturaunderlag lokalnät'!$AD$23:$AD$65,0))=0,"",INDEX('Fakturaunderlag lokalnät'!$P$23:$P$65,MATCH($N25,'Fakturaunderlag lokalnät'!$AD$23:$AD$65,0))),"")</f>
        <v/>
      </c>
      <c r="G25" s="140" t="str">
        <f>_xlfn.IFNA(IF(INDEX('Fakturaunderlag lokalnät'!$Q$23:$Q$65,MATCH($N25,'Fakturaunderlag lokalnät'!$AD$23:$AD$65,0))=0,"",INDEX('Fakturaunderlag lokalnät'!$Q$23:$Q$65,MATCH($N25,'Fakturaunderlag lokalnät'!$AD$23:$AD$65,0))),"")</f>
        <v/>
      </c>
      <c r="H25" s="140" t="str">
        <f>_xlfn.IFNA(IF(INDEX('Fakturaunderlag lokalnät'!$R$23:$R$65,MATCH($N25,'Fakturaunderlag lokalnät'!$AD$23:$AD$65,0))=0,"",INDEX('Fakturaunderlag lokalnät'!$R$23:$R$65,MATCH($N25,'Fakturaunderlag lokalnät'!$AD$23:$AD$65,0))),"")</f>
        <v/>
      </c>
      <c r="I25" s="140" t="str">
        <f>_xlfn.IFNA(IF(INDEX('Fakturaunderlag lokalnät'!$S$23:$S$65,MATCH($N25,'Fakturaunderlag lokalnät'!$AD$23:$AD$65,0))=0,"",INDEX('Fakturaunderlag lokalnät'!$S$23:$S$65,MATCH($N25,'Fakturaunderlag lokalnät'!$AD$23:$AD$65,0))),"")</f>
        <v/>
      </c>
      <c r="J25" s="153" t="str">
        <f>_xlfn.IFNA(IF(INDEX('Fakturaunderlag lokalnät'!$L$23:$L$65,MATCH($N25,'Fakturaunderlag lokalnät'!$AD$23:$AD$65,0))=0,"",INDEX('Fakturaunderlag lokalnät'!$L$23:$L$65,MATCH($N25,'Fakturaunderlag lokalnät'!$AD$23:$AD$65,0))),"")</f>
        <v/>
      </c>
      <c r="K25" s="139" t="str">
        <f>IF(B25="","",IF('Fakturaunderlag lokalnät'!$J$14="","",'Fakturaunderlag lokalnät'!$J$14))</f>
        <v/>
      </c>
      <c r="L25" s="140" t="str">
        <f>_xlfn.IFNA(IF(INDEX('Fakturaunderlag lokalnät'!$I$23:$I$65,MATCH($N25,'Fakturaunderlag lokalnät'!$AD$23:$AD$65,0))=0,"",INDEX('Fakturaunderlag lokalnät'!$I$23:$I$65,MATCH($N25,'Fakturaunderlag lokalnät'!$AD$23:$AD$65,0))),"")</f>
        <v/>
      </c>
      <c r="N25" s="148">
        <v>14</v>
      </c>
    </row>
    <row r="26" spans="1:14">
      <c r="A26" s="139" t="str">
        <f>_xlfn.IFNA(LEFT(IF(INDEX('Fakturaunderlag lokalnät'!$C$23:$C$65,MATCH($N26,'Fakturaunderlag lokalnät'!$AD$23:$AD$65,0))=0,"",INDEX('Fakturaunderlag lokalnät'!$C$23:$C$65,MATCH($N26,'Fakturaunderlag lokalnät'!$AD$23:$AD$65,0))),3),"")</f>
        <v/>
      </c>
      <c r="B26" s="139" t="str">
        <f>_xlfn.IFNA(IF(INDEX('Fakturaunderlag lokalnät'!$E$23:$E$65,MATCH($N26,'Fakturaunderlag lokalnät'!$AD$23:$AD$65,0))=0,"",INDEX('Fakturaunderlag lokalnät'!$E$23:$E$65,MATCH($N26,'Fakturaunderlag lokalnät'!$AD$23:$AD$65,0))),"")</f>
        <v/>
      </c>
      <c r="C26" s="135"/>
      <c r="D26" s="140" t="str">
        <f>_xlfn.IFNA(IF(INDEX('Fakturaunderlag lokalnät'!$O$23:$O$65,MATCH($N26,'Fakturaunderlag lokalnät'!$AD$23:$AD$65,0))=0,"",INDEX('Fakturaunderlag lokalnät'!$O$23:$O$65,MATCH($N26,'Fakturaunderlag lokalnät'!$AD$23:$AD$65,0))),"")</f>
        <v/>
      </c>
      <c r="E26" s="140" t="str">
        <f>_xlfn.IFNA(IF(INDEX('Fakturaunderlag lokalnät'!$T$23:$T$65,MATCH($N26,'Fakturaunderlag lokalnät'!$AD$23:$AD$65,0))=0,"",INDEX('Fakturaunderlag lokalnät'!$T$23:$T$65,MATCH($N26,'Fakturaunderlag lokalnät'!$AD$23:$AD$65,0))),"")</f>
        <v/>
      </c>
      <c r="F26" s="140" t="str">
        <f>_xlfn.IFNA(IF(INDEX('Fakturaunderlag lokalnät'!$P$23:$P$65,MATCH($N26,'Fakturaunderlag lokalnät'!$AD$23:$AD$65,0))=0,"",INDEX('Fakturaunderlag lokalnät'!$P$23:$P$65,MATCH($N26,'Fakturaunderlag lokalnät'!$AD$23:$AD$65,0))),"")</f>
        <v/>
      </c>
      <c r="G26" s="140" t="str">
        <f>_xlfn.IFNA(IF(INDEX('Fakturaunderlag lokalnät'!$Q$23:$Q$65,MATCH($N26,'Fakturaunderlag lokalnät'!$AD$23:$AD$65,0))=0,"",INDEX('Fakturaunderlag lokalnät'!$Q$23:$Q$65,MATCH($N26,'Fakturaunderlag lokalnät'!$AD$23:$AD$65,0))),"")</f>
        <v/>
      </c>
      <c r="H26" s="140" t="str">
        <f>_xlfn.IFNA(IF(INDEX('Fakturaunderlag lokalnät'!$R$23:$R$65,MATCH($N26,'Fakturaunderlag lokalnät'!$AD$23:$AD$65,0))=0,"",INDEX('Fakturaunderlag lokalnät'!$R$23:$R$65,MATCH($N26,'Fakturaunderlag lokalnät'!$AD$23:$AD$65,0))),"")</f>
        <v/>
      </c>
      <c r="I26" s="140" t="str">
        <f>_xlfn.IFNA(IF(INDEX('Fakturaunderlag lokalnät'!$S$23:$S$65,MATCH($N26,'Fakturaunderlag lokalnät'!$AD$23:$AD$65,0))=0,"",INDEX('Fakturaunderlag lokalnät'!$S$23:$S$65,MATCH($N26,'Fakturaunderlag lokalnät'!$AD$23:$AD$65,0))),"")</f>
        <v/>
      </c>
      <c r="J26" s="153" t="str">
        <f>_xlfn.IFNA(IF(INDEX('Fakturaunderlag lokalnät'!$L$23:$L$65,MATCH($N26,'Fakturaunderlag lokalnät'!$AD$23:$AD$65,0))=0,"",INDEX('Fakturaunderlag lokalnät'!$L$23:$L$65,MATCH($N26,'Fakturaunderlag lokalnät'!$AD$23:$AD$65,0))),"")</f>
        <v/>
      </c>
      <c r="K26" s="139" t="str">
        <f>IF(B26="","",IF('Fakturaunderlag lokalnät'!$J$14="","",'Fakturaunderlag lokalnät'!$J$14))</f>
        <v/>
      </c>
      <c r="L26" s="140" t="str">
        <f>_xlfn.IFNA(IF(INDEX('Fakturaunderlag lokalnät'!$I$23:$I$65,MATCH($N26,'Fakturaunderlag lokalnät'!$AD$23:$AD$65,0))=0,"",INDEX('Fakturaunderlag lokalnät'!$I$23:$I$65,MATCH($N26,'Fakturaunderlag lokalnät'!$AD$23:$AD$65,0))),"")</f>
        <v/>
      </c>
      <c r="N26" s="148">
        <v>15</v>
      </c>
    </row>
    <row r="27" spans="1:14">
      <c r="A27" s="139" t="str">
        <f>_xlfn.IFNA(LEFT(IF(INDEX('Fakturaunderlag lokalnät'!$C$23:$C$65,MATCH($N27,'Fakturaunderlag lokalnät'!$AD$23:$AD$65,0))=0,"",INDEX('Fakturaunderlag lokalnät'!$C$23:$C$65,MATCH($N27,'Fakturaunderlag lokalnät'!$AD$23:$AD$65,0))),3),"")</f>
        <v/>
      </c>
      <c r="B27" s="139" t="str">
        <f>_xlfn.IFNA(IF(INDEX('Fakturaunderlag lokalnät'!$E$23:$E$65,MATCH($N27,'Fakturaunderlag lokalnät'!$AD$23:$AD$65,0))=0,"",INDEX('Fakturaunderlag lokalnät'!$E$23:$E$65,MATCH($N27,'Fakturaunderlag lokalnät'!$AD$23:$AD$65,0))),"")</f>
        <v/>
      </c>
      <c r="C27" s="135"/>
      <c r="D27" s="140" t="str">
        <f>_xlfn.IFNA(IF(INDEX('Fakturaunderlag lokalnät'!$O$23:$O$65,MATCH($N27,'Fakturaunderlag lokalnät'!$AD$23:$AD$65,0))=0,"",INDEX('Fakturaunderlag lokalnät'!$O$23:$O$65,MATCH($N27,'Fakturaunderlag lokalnät'!$AD$23:$AD$65,0))),"")</f>
        <v/>
      </c>
      <c r="E27" s="140" t="str">
        <f>_xlfn.IFNA(IF(INDEX('Fakturaunderlag lokalnät'!$T$23:$T$65,MATCH($N27,'Fakturaunderlag lokalnät'!$AD$23:$AD$65,0))=0,"",INDEX('Fakturaunderlag lokalnät'!$T$23:$T$65,MATCH($N27,'Fakturaunderlag lokalnät'!$AD$23:$AD$65,0))),"")</f>
        <v/>
      </c>
      <c r="F27" s="140" t="str">
        <f>_xlfn.IFNA(IF(INDEX('Fakturaunderlag lokalnät'!$P$23:$P$65,MATCH($N27,'Fakturaunderlag lokalnät'!$AD$23:$AD$65,0))=0,"",INDEX('Fakturaunderlag lokalnät'!$P$23:$P$65,MATCH($N27,'Fakturaunderlag lokalnät'!$AD$23:$AD$65,0))),"")</f>
        <v/>
      </c>
      <c r="G27" s="140" t="str">
        <f>_xlfn.IFNA(IF(INDEX('Fakturaunderlag lokalnät'!$Q$23:$Q$65,MATCH($N27,'Fakturaunderlag lokalnät'!$AD$23:$AD$65,0))=0,"",INDEX('Fakturaunderlag lokalnät'!$Q$23:$Q$65,MATCH($N27,'Fakturaunderlag lokalnät'!$AD$23:$AD$65,0))),"")</f>
        <v/>
      </c>
      <c r="H27" s="140" t="str">
        <f>_xlfn.IFNA(IF(INDEX('Fakturaunderlag lokalnät'!$R$23:$R$65,MATCH($N27,'Fakturaunderlag lokalnät'!$AD$23:$AD$65,0))=0,"",INDEX('Fakturaunderlag lokalnät'!$R$23:$R$65,MATCH($N27,'Fakturaunderlag lokalnät'!$AD$23:$AD$65,0))),"")</f>
        <v/>
      </c>
      <c r="I27" s="140" t="str">
        <f>_xlfn.IFNA(IF(INDEX('Fakturaunderlag lokalnät'!$S$23:$S$65,MATCH($N27,'Fakturaunderlag lokalnät'!$AD$23:$AD$65,0))=0,"",INDEX('Fakturaunderlag lokalnät'!$S$23:$S$65,MATCH($N27,'Fakturaunderlag lokalnät'!$AD$23:$AD$65,0))),"")</f>
        <v/>
      </c>
      <c r="J27" s="153" t="str">
        <f>_xlfn.IFNA(IF(INDEX('Fakturaunderlag lokalnät'!$L$23:$L$65,MATCH($N27,'Fakturaunderlag lokalnät'!$AD$23:$AD$65,0))=0,"",INDEX('Fakturaunderlag lokalnät'!$L$23:$L$65,MATCH($N27,'Fakturaunderlag lokalnät'!$AD$23:$AD$65,0))),"")</f>
        <v/>
      </c>
      <c r="K27" s="139" t="str">
        <f>IF(B27="","",IF('Fakturaunderlag lokalnät'!$J$14="","",'Fakturaunderlag lokalnät'!$J$14))</f>
        <v/>
      </c>
      <c r="L27" s="140" t="str">
        <f>_xlfn.IFNA(IF(INDEX('Fakturaunderlag lokalnät'!$I$23:$I$65,MATCH($N27,'Fakturaunderlag lokalnät'!$AD$23:$AD$65,0))=0,"",INDEX('Fakturaunderlag lokalnät'!$I$23:$I$65,MATCH($N27,'Fakturaunderlag lokalnät'!$AD$23:$AD$65,0))),"")</f>
        <v/>
      </c>
      <c r="N27" s="148">
        <v>16</v>
      </c>
    </row>
    <row r="28" spans="1:14">
      <c r="A28" s="139" t="str">
        <f>_xlfn.IFNA(LEFT(IF(INDEX('Fakturaunderlag lokalnät'!$C$23:$C$65,MATCH($N28,'Fakturaunderlag lokalnät'!$AD$23:$AD$65,0))=0,"",INDEX('Fakturaunderlag lokalnät'!$C$23:$C$65,MATCH($N28,'Fakturaunderlag lokalnät'!$AD$23:$AD$65,0))),3),"")</f>
        <v/>
      </c>
      <c r="B28" s="139" t="str">
        <f>_xlfn.IFNA(IF(INDEX('Fakturaunderlag lokalnät'!$E$23:$E$65,MATCH($N28,'Fakturaunderlag lokalnät'!$AD$23:$AD$65,0))=0,"",INDEX('Fakturaunderlag lokalnät'!$E$23:$E$65,MATCH($N28,'Fakturaunderlag lokalnät'!$AD$23:$AD$65,0))),"")</f>
        <v/>
      </c>
      <c r="C28" s="135"/>
      <c r="D28" s="140" t="str">
        <f>_xlfn.IFNA(IF(INDEX('Fakturaunderlag lokalnät'!$O$23:$O$65,MATCH($N28,'Fakturaunderlag lokalnät'!$AD$23:$AD$65,0))=0,"",INDEX('Fakturaunderlag lokalnät'!$O$23:$O$65,MATCH($N28,'Fakturaunderlag lokalnät'!$AD$23:$AD$65,0))),"")</f>
        <v/>
      </c>
      <c r="E28" s="140" t="str">
        <f>_xlfn.IFNA(IF(INDEX('Fakturaunderlag lokalnät'!$T$23:$T$65,MATCH($N28,'Fakturaunderlag lokalnät'!$AD$23:$AD$65,0))=0,"",INDEX('Fakturaunderlag lokalnät'!$T$23:$T$65,MATCH($N28,'Fakturaunderlag lokalnät'!$AD$23:$AD$65,0))),"")</f>
        <v/>
      </c>
      <c r="F28" s="140" t="str">
        <f>_xlfn.IFNA(IF(INDEX('Fakturaunderlag lokalnät'!$P$23:$P$65,MATCH($N28,'Fakturaunderlag lokalnät'!$AD$23:$AD$65,0))=0,"",INDEX('Fakturaunderlag lokalnät'!$P$23:$P$65,MATCH($N28,'Fakturaunderlag lokalnät'!$AD$23:$AD$65,0))),"")</f>
        <v/>
      </c>
      <c r="G28" s="140" t="str">
        <f>_xlfn.IFNA(IF(INDEX('Fakturaunderlag lokalnät'!$Q$23:$Q$65,MATCH($N28,'Fakturaunderlag lokalnät'!$AD$23:$AD$65,0))=0,"",INDEX('Fakturaunderlag lokalnät'!$Q$23:$Q$65,MATCH($N28,'Fakturaunderlag lokalnät'!$AD$23:$AD$65,0))),"")</f>
        <v/>
      </c>
      <c r="H28" s="140" t="str">
        <f>_xlfn.IFNA(IF(INDEX('Fakturaunderlag lokalnät'!$R$23:$R$65,MATCH($N28,'Fakturaunderlag lokalnät'!$AD$23:$AD$65,0))=0,"",INDEX('Fakturaunderlag lokalnät'!$R$23:$R$65,MATCH($N28,'Fakturaunderlag lokalnät'!$AD$23:$AD$65,0))),"")</f>
        <v/>
      </c>
      <c r="I28" s="140" t="str">
        <f>_xlfn.IFNA(IF(INDEX('Fakturaunderlag lokalnät'!$S$23:$S$65,MATCH($N28,'Fakturaunderlag lokalnät'!$AD$23:$AD$65,0))=0,"",INDEX('Fakturaunderlag lokalnät'!$S$23:$S$65,MATCH($N28,'Fakturaunderlag lokalnät'!$AD$23:$AD$65,0))),"")</f>
        <v/>
      </c>
      <c r="J28" s="153" t="str">
        <f>_xlfn.IFNA(IF(INDEX('Fakturaunderlag lokalnät'!$L$23:$L$65,MATCH($N28,'Fakturaunderlag lokalnät'!$AD$23:$AD$65,0))=0,"",INDEX('Fakturaunderlag lokalnät'!$L$23:$L$65,MATCH($N28,'Fakturaunderlag lokalnät'!$AD$23:$AD$65,0))),"")</f>
        <v/>
      </c>
      <c r="K28" s="139" t="str">
        <f>IF(B28="","",IF('Fakturaunderlag lokalnät'!$J$14="","",'Fakturaunderlag lokalnät'!$J$14))</f>
        <v/>
      </c>
      <c r="L28" s="140" t="str">
        <f>_xlfn.IFNA(IF(INDEX('Fakturaunderlag lokalnät'!$I$23:$I$65,MATCH($N28,'Fakturaunderlag lokalnät'!$AD$23:$AD$65,0))=0,"",INDEX('Fakturaunderlag lokalnät'!$I$23:$I$65,MATCH($N28,'Fakturaunderlag lokalnät'!$AD$23:$AD$65,0))),"")</f>
        <v/>
      </c>
      <c r="N28" s="148">
        <v>17</v>
      </c>
    </row>
    <row r="29" spans="1:14">
      <c r="A29" s="139" t="str">
        <f>_xlfn.IFNA(LEFT(IF(INDEX('Fakturaunderlag lokalnät'!$C$23:$C$65,MATCH($N29,'Fakturaunderlag lokalnät'!$AD$23:$AD$65,0))=0,"",INDEX('Fakturaunderlag lokalnät'!$C$23:$C$65,MATCH($N29,'Fakturaunderlag lokalnät'!$AD$23:$AD$65,0))),3),"")</f>
        <v/>
      </c>
      <c r="B29" s="139" t="str">
        <f>_xlfn.IFNA(IF(INDEX('Fakturaunderlag lokalnät'!$E$23:$E$65,MATCH($N29,'Fakturaunderlag lokalnät'!$AD$23:$AD$65,0))=0,"",INDEX('Fakturaunderlag lokalnät'!$E$23:$E$65,MATCH($N29,'Fakturaunderlag lokalnät'!$AD$23:$AD$65,0))),"")</f>
        <v/>
      </c>
      <c r="C29" s="135"/>
      <c r="D29" s="140" t="str">
        <f>_xlfn.IFNA(IF(INDEX('Fakturaunderlag lokalnät'!$O$23:$O$65,MATCH($N29,'Fakturaunderlag lokalnät'!$AD$23:$AD$65,0))=0,"",INDEX('Fakturaunderlag lokalnät'!$O$23:$O$65,MATCH($N29,'Fakturaunderlag lokalnät'!$AD$23:$AD$65,0))),"")</f>
        <v/>
      </c>
      <c r="E29" s="140" t="str">
        <f>_xlfn.IFNA(IF(INDEX('Fakturaunderlag lokalnät'!$T$23:$T$65,MATCH($N29,'Fakturaunderlag lokalnät'!$AD$23:$AD$65,0))=0,"",INDEX('Fakturaunderlag lokalnät'!$T$23:$T$65,MATCH($N29,'Fakturaunderlag lokalnät'!$AD$23:$AD$65,0))),"")</f>
        <v/>
      </c>
      <c r="F29" s="140" t="str">
        <f>_xlfn.IFNA(IF(INDEX('Fakturaunderlag lokalnät'!$P$23:$P$65,MATCH($N29,'Fakturaunderlag lokalnät'!$AD$23:$AD$65,0))=0,"",INDEX('Fakturaunderlag lokalnät'!$P$23:$P$65,MATCH($N29,'Fakturaunderlag lokalnät'!$AD$23:$AD$65,0))),"")</f>
        <v/>
      </c>
      <c r="G29" s="140" t="str">
        <f>_xlfn.IFNA(IF(INDEX('Fakturaunderlag lokalnät'!$Q$23:$Q$65,MATCH($N29,'Fakturaunderlag lokalnät'!$AD$23:$AD$65,0))=0,"",INDEX('Fakturaunderlag lokalnät'!$Q$23:$Q$65,MATCH($N29,'Fakturaunderlag lokalnät'!$AD$23:$AD$65,0))),"")</f>
        <v/>
      </c>
      <c r="H29" s="140" t="str">
        <f>_xlfn.IFNA(IF(INDEX('Fakturaunderlag lokalnät'!$R$23:$R$65,MATCH($N29,'Fakturaunderlag lokalnät'!$AD$23:$AD$65,0))=0,"",INDEX('Fakturaunderlag lokalnät'!$R$23:$R$65,MATCH($N29,'Fakturaunderlag lokalnät'!$AD$23:$AD$65,0))),"")</f>
        <v/>
      </c>
      <c r="I29" s="140" t="str">
        <f>_xlfn.IFNA(IF(INDEX('Fakturaunderlag lokalnät'!$S$23:$S$65,MATCH($N29,'Fakturaunderlag lokalnät'!$AD$23:$AD$65,0))=0,"",INDEX('Fakturaunderlag lokalnät'!$S$23:$S$65,MATCH($N29,'Fakturaunderlag lokalnät'!$AD$23:$AD$65,0))),"")</f>
        <v/>
      </c>
      <c r="J29" s="153" t="str">
        <f>_xlfn.IFNA(IF(INDEX('Fakturaunderlag lokalnät'!$L$23:$L$65,MATCH($N29,'Fakturaunderlag lokalnät'!$AD$23:$AD$65,0))=0,"",INDEX('Fakturaunderlag lokalnät'!$L$23:$L$65,MATCH($N29,'Fakturaunderlag lokalnät'!$AD$23:$AD$65,0))),"")</f>
        <v/>
      </c>
      <c r="K29" s="139" t="str">
        <f>IF(B29="","",IF('Fakturaunderlag lokalnät'!$J$14="","",'Fakturaunderlag lokalnät'!$J$14))</f>
        <v/>
      </c>
      <c r="L29" s="140" t="str">
        <f>_xlfn.IFNA(IF(INDEX('Fakturaunderlag lokalnät'!$I$23:$I$65,MATCH($N29,'Fakturaunderlag lokalnät'!$AD$23:$AD$65,0))=0,"",INDEX('Fakturaunderlag lokalnät'!$I$23:$I$65,MATCH($N29,'Fakturaunderlag lokalnät'!$AD$23:$AD$65,0))),"")</f>
        <v/>
      </c>
      <c r="N29" s="148">
        <v>18</v>
      </c>
    </row>
    <row r="30" spans="1:14">
      <c r="A30" s="139" t="str">
        <f>_xlfn.IFNA(LEFT(IF(INDEX('Fakturaunderlag lokalnät'!$C$23:$C$65,MATCH($N30,'Fakturaunderlag lokalnät'!$AD$23:$AD$65,0))=0,"",INDEX('Fakturaunderlag lokalnät'!$C$23:$C$65,MATCH($N30,'Fakturaunderlag lokalnät'!$AD$23:$AD$65,0))),3),"")</f>
        <v/>
      </c>
      <c r="B30" s="139" t="str">
        <f>_xlfn.IFNA(IF(INDEX('Fakturaunderlag lokalnät'!$E$23:$E$65,MATCH($N30,'Fakturaunderlag lokalnät'!$AD$23:$AD$65,0))=0,"",INDEX('Fakturaunderlag lokalnät'!$E$23:$E$65,MATCH($N30,'Fakturaunderlag lokalnät'!$AD$23:$AD$65,0))),"")</f>
        <v/>
      </c>
      <c r="C30" s="135"/>
      <c r="D30" s="140" t="str">
        <f>_xlfn.IFNA(IF(INDEX('Fakturaunderlag lokalnät'!$O$23:$O$65,MATCH($N30,'Fakturaunderlag lokalnät'!$AD$23:$AD$65,0))=0,"",INDEX('Fakturaunderlag lokalnät'!$O$23:$O$65,MATCH($N30,'Fakturaunderlag lokalnät'!$AD$23:$AD$65,0))),"")</f>
        <v/>
      </c>
      <c r="E30" s="140" t="str">
        <f>_xlfn.IFNA(IF(INDEX('Fakturaunderlag lokalnät'!$T$23:$T$65,MATCH($N30,'Fakturaunderlag lokalnät'!$AD$23:$AD$65,0))=0,"",INDEX('Fakturaunderlag lokalnät'!$T$23:$T$65,MATCH($N30,'Fakturaunderlag lokalnät'!$AD$23:$AD$65,0))),"")</f>
        <v/>
      </c>
      <c r="F30" s="140" t="str">
        <f>_xlfn.IFNA(IF(INDEX('Fakturaunderlag lokalnät'!$P$23:$P$65,MATCH($N30,'Fakturaunderlag lokalnät'!$AD$23:$AD$65,0))=0,"",INDEX('Fakturaunderlag lokalnät'!$P$23:$P$65,MATCH($N30,'Fakturaunderlag lokalnät'!$AD$23:$AD$65,0))),"")</f>
        <v/>
      </c>
      <c r="G30" s="140" t="str">
        <f>_xlfn.IFNA(IF(INDEX('Fakturaunderlag lokalnät'!$Q$23:$Q$65,MATCH($N30,'Fakturaunderlag lokalnät'!$AD$23:$AD$65,0))=0,"",INDEX('Fakturaunderlag lokalnät'!$Q$23:$Q$65,MATCH($N30,'Fakturaunderlag lokalnät'!$AD$23:$AD$65,0))),"")</f>
        <v/>
      </c>
      <c r="H30" s="140" t="str">
        <f>_xlfn.IFNA(IF(INDEX('Fakturaunderlag lokalnät'!$R$23:$R$65,MATCH($N30,'Fakturaunderlag lokalnät'!$AD$23:$AD$65,0))=0,"",INDEX('Fakturaunderlag lokalnät'!$R$23:$R$65,MATCH($N30,'Fakturaunderlag lokalnät'!$AD$23:$AD$65,0))),"")</f>
        <v/>
      </c>
      <c r="I30" s="140" t="str">
        <f>_xlfn.IFNA(IF(INDEX('Fakturaunderlag lokalnät'!$S$23:$S$65,MATCH($N30,'Fakturaunderlag lokalnät'!$AD$23:$AD$65,0))=0,"",INDEX('Fakturaunderlag lokalnät'!$S$23:$S$65,MATCH($N30,'Fakturaunderlag lokalnät'!$AD$23:$AD$65,0))),"")</f>
        <v/>
      </c>
      <c r="J30" s="153" t="str">
        <f>_xlfn.IFNA(IF(INDEX('Fakturaunderlag lokalnät'!$L$23:$L$65,MATCH($N30,'Fakturaunderlag lokalnät'!$AD$23:$AD$65,0))=0,"",INDEX('Fakturaunderlag lokalnät'!$L$23:$L$65,MATCH($N30,'Fakturaunderlag lokalnät'!$AD$23:$AD$65,0))),"")</f>
        <v/>
      </c>
      <c r="K30" s="139" t="str">
        <f>IF(B30="","",IF('Fakturaunderlag lokalnät'!$J$14="","",'Fakturaunderlag lokalnät'!$J$14))</f>
        <v/>
      </c>
      <c r="L30" s="140" t="str">
        <f>_xlfn.IFNA(IF(INDEX('Fakturaunderlag lokalnät'!$I$23:$I$65,MATCH($N30,'Fakturaunderlag lokalnät'!$AD$23:$AD$65,0))=0,"",INDEX('Fakturaunderlag lokalnät'!$I$23:$I$65,MATCH($N30,'Fakturaunderlag lokalnät'!$AD$23:$AD$65,0))),"")</f>
        <v/>
      </c>
      <c r="N30" s="148">
        <v>19</v>
      </c>
    </row>
    <row r="31" spans="1:14">
      <c r="A31" s="139" t="str">
        <f>_xlfn.IFNA(LEFT(IF(INDEX('Fakturaunderlag lokalnät'!$C$23:$C$65,MATCH($N31,'Fakturaunderlag lokalnät'!$AD$23:$AD$65,0))=0,"",INDEX('Fakturaunderlag lokalnät'!$C$23:$C$65,MATCH($N31,'Fakturaunderlag lokalnät'!$AD$23:$AD$65,0))),3),"")</f>
        <v/>
      </c>
      <c r="B31" s="139" t="str">
        <f>_xlfn.IFNA(IF(INDEX('Fakturaunderlag lokalnät'!$E$23:$E$65,MATCH($N31,'Fakturaunderlag lokalnät'!$AD$23:$AD$65,0))=0,"",INDEX('Fakturaunderlag lokalnät'!$E$23:$E$65,MATCH($N31,'Fakturaunderlag lokalnät'!$AD$23:$AD$65,0))),"")</f>
        <v/>
      </c>
      <c r="C31" s="135"/>
      <c r="D31" s="140" t="str">
        <f>_xlfn.IFNA(IF(INDEX('Fakturaunderlag lokalnät'!$O$23:$O$65,MATCH($N31,'Fakturaunderlag lokalnät'!$AD$23:$AD$65,0))=0,"",INDEX('Fakturaunderlag lokalnät'!$O$23:$O$65,MATCH($N31,'Fakturaunderlag lokalnät'!$AD$23:$AD$65,0))),"")</f>
        <v/>
      </c>
      <c r="E31" s="140" t="str">
        <f>_xlfn.IFNA(IF(INDEX('Fakturaunderlag lokalnät'!$T$23:$T$65,MATCH($N31,'Fakturaunderlag lokalnät'!$AD$23:$AD$65,0))=0,"",INDEX('Fakturaunderlag lokalnät'!$T$23:$T$65,MATCH($N31,'Fakturaunderlag lokalnät'!$AD$23:$AD$65,0))),"")</f>
        <v/>
      </c>
      <c r="F31" s="140" t="str">
        <f>_xlfn.IFNA(IF(INDEX('Fakturaunderlag lokalnät'!$P$23:$P$65,MATCH($N31,'Fakturaunderlag lokalnät'!$AD$23:$AD$65,0))=0,"",INDEX('Fakturaunderlag lokalnät'!$P$23:$P$65,MATCH($N31,'Fakturaunderlag lokalnät'!$AD$23:$AD$65,0))),"")</f>
        <v/>
      </c>
      <c r="G31" s="140" t="str">
        <f>_xlfn.IFNA(IF(INDEX('Fakturaunderlag lokalnät'!$Q$23:$Q$65,MATCH($N31,'Fakturaunderlag lokalnät'!$AD$23:$AD$65,0))=0,"",INDEX('Fakturaunderlag lokalnät'!$Q$23:$Q$65,MATCH($N31,'Fakturaunderlag lokalnät'!$AD$23:$AD$65,0))),"")</f>
        <v/>
      </c>
      <c r="H31" s="140" t="str">
        <f>_xlfn.IFNA(IF(INDEX('Fakturaunderlag lokalnät'!$R$23:$R$65,MATCH($N31,'Fakturaunderlag lokalnät'!$AD$23:$AD$65,0))=0,"",INDEX('Fakturaunderlag lokalnät'!$R$23:$R$65,MATCH($N31,'Fakturaunderlag lokalnät'!$AD$23:$AD$65,0))),"")</f>
        <v/>
      </c>
      <c r="I31" s="140" t="str">
        <f>_xlfn.IFNA(IF(INDEX('Fakturaunderlag lokalnät'!$S$23:$S$65,MATCH($N31,'Fakturaunderlag lokalnät'!$AD$23:$AD$65,0))=0,"",INDEX('Fakturaunderlag lokalnät'!$S$23:$S$65,MATCH($N31,'Fakturaunderlag lokalnät'!$AD$23:$AD$65,0))),"")</f>
        <v/>
      </c>
      <c r="J31" s="153" t="str">
        <f>_xlfn.IFNA(IF(INDEX('Fakturaunderlag lokalnät'!$L$23:$L$65,MATCH($N31,'Fakturaunderlag lokalnät'!$AD$23:$AD$65,0))=0,"",INDEX('Fakturaunderlag lokalnät'!$L$23:$L$65,MATCH($N31,'Fakturaunderlag lokalnät'!$AD$23:$AD$65,0))),"")</f>
        <v/>
      </c>
      <c r="K31" s="139" t="str">
        <f>IF(B31="","",IF('Fakturaunderlag lokalnät'!$J$14="","",'Fakturaunderlag lokalnät'!$J$14))</f>
        <v/>
      </c>
      <c r="L31" s="140" t="str">
        <f>_xlfn.IFNA(IF(INDEX('Fakturaunderlag lokalnät'!$I$23:$I$65,MATCH($N31,'Fakturaunderlag lokalnät'!$AD$23:$AD$65,0))=0,"",INDEX('Fakturaunderlag lokalnät'!$I$23:$I$65,MATCH($N31,'Fakturaunderlag lokalnät'!$AD$23:$AD$65,0))),"")</f>
        <v/>
      </c>
      <c r="N31" s="148">
        <v>20</v>
      </c>
    </row>
    <row r="32" spans="1:14">
      <c r="A32" s="139" t="str">
        <f>_xlfn.IFNA(LEFT(IF(INDEX('Fakturaunderlag lokalnät'!$C$23:$C$65,MATCH($N32,'Fakturaunderlag lokalnät'!$AD$23:$AD$65,0))=0,"",INDEX('Fakturaunderlag lokalnät'!$C$23:$C$65,MATCH($N32,'Fakturaunderlag lokalnät'!$AD$23:$AD$65,0))),3),"")</f>
        <v/>
      </c>
      <c r="B32" s="139" t="str">
        <f>_xlfn.IFNA(IF(INDEX('Fakturaunderlag lokalnät'!$E$23:$E$65,MATCH($N32,'Fakturaunderlag lokalnät'!$AD$23:$AD$65,0))=0,"",INDEX('Fakturaunderlag lokalnät'!$E$23:$E$65,MATCH($N32,'Fakturaunderlag lokalnät'!$AD$23:$AD$65,0))),"")</f>
        <v/>
      </c>
      <c r="C32" s="135"/>
      <c r="D32" s="140" t="str">
        <f>_xlfn.IFNA(IF(INDEX('Fakturaunderlag lokalnät'!$O$23:$O$65,MATCH($N32,'Fakturaunderlag lokalnät'!$AD$23:$AD$65,0))=0,"",INDEX('Fakturaunderlag lokalnät'!$O$23:$O$65,MATCH($N32,'Fakturaunderlag lokalnät'!$AD$23:$AD$65,0))),"")</f>
        <v/>
      </c>
      <c r="E32" s="140" t="str">
        <f>_xlfn.IFNA(IF(INDEX('Fakturaunderlag lokalnät'!$T$23:$T$65,MATCH($N32,'Fakturaunderlag lokalnät'!$AD$23:$AD$65,0))=0,"",INDEX('Fakturaunderlag lokalnät'!$T$23:$T$65,MATCH($N32,'Fakturaunderlag lokalnät'!$AD$23:$AD$65,0))),"")</f>
        <v/>
      </c>
      <c r="F32" s="140" t="str">
        <f>_xlfn.IFNA(IF(INDEX('Fakturaunderlag lokalnät'!$P$23:$P$65,MATCH($N32,'Fakturaunderlag lokalnät'!$AD$23:$AD$65,0))=0,"",INDEX('Fakturaunderlag lokalnät'!$P$23:$P$65,MATCH($N32,'Fakturaunderlag lokalnät'!$AD$23:$AD$65,0))),"")</f>
        <v/>
      </c>
      <c r="G32" s="140" t="str">
        <f>_xlfn.IFNA(IF(INDEX('Fakturaunderlag lokalnät'!$Q$23:$Q$65,MATCH($N32,'Fakturaunderlag lokalnät'!$AD$23:$AD$65,0))=0,"",INDEX('Fakturaunderlag lokalnät'!$Q$23:$Q$65,MATCH($N32,'Fakturaunderlag lokalnät'!$AD$23:$AD$65,0))),"")</f>
        <v/>
      </c>
      <c r="H32" s="140" t="str">
        <f>_xlfn.IFNA(IF(INDEX('Fakturaunderlag lokalnät'!$R$23:$R$65,MATCH($N32,'Fakturaunderlag lokalnät'!$AD$23:$AD$65,0))=0,"",INDEX('Fakturaunderlag lokalnät'!$R$23:$R$65,MATCH($N32,'Fakturaunderlag lokalnät'!$AD$23:$AD$65,0))),"")</f>
        <v/>
      </c>
      <c r="I32" s="140" t="str">
        <f>_xlfn.IFNA(IF(INDEX('Fakturaunderlag lokalnät'!$S$23:$S$65,MATCH($N32,'Fakturaunderlag lokalnät'!$AD$23:$AD$65,0))=0,"",INDEX('Fakturaunderlag lokalnät'!$S$23:$S$65,MATCH($N32,'Fakturaunderlag lokalnät'!$AD$23:$AD$65,0))),"")</f>
        <v/>
      </c>
      <c r="J32" s="153" t="str">
        <f>_xlfn.IFNA(IF(INDEX('Fakturaunderlag lokalnät'!$L$23:$L$65,MATCH($N32,'Fakturaunderlag lokalnät'!$AD$23:$AD$65,0))=0,"",INDEX('Fakturaunderlag lokalnät'!$L$23:$L$65,MATCH($N32,'Fakturaunderlag lokalnät'!$AD$23:$AD$65,0))),"")</f>
        <v/>
      </c>
      <c r="K32" s="139" t="str">
        <f>IF(B32="","",IF('Fakturaunderlag lokalnät'!$J$14="","",'Fakturaunderlag lokalnät'!$J$14))</f>
        <v/>
      </c>
      <c r="L32" s="140" t="str">
        <f>_xlfn.IFNA(IF(INDEX('Fakturaunderlag lokalnät'!$I$23:$I$65,MATCH($N32,'Fakturaunderlag lokalnät'!$AD$23:$AD$65,0))=0,"",INDEX('Fakturaunderlag lokalnät'!$I$23:$I$65,MATCH($N32,'Fakturaunderlag lokalnät'!$AD$23:$AD$65,0))),"")</f>
        <v/>
      </c>
      <c r="N32" s="148">
        <v>21</v>
      </c>
    </row>
    <row r="33" spans="1:14">
      <c r="A33" s="139" t="str">
        <f>_xlfn.IFNA(LEFT(IF(INDEX('Fakturaunderlag lokalnät'!$C$23:$C$65,MATCH($N33,'Fakturaunderlag lokalnät'!$AD$23:$AD$65,0))=0,"",INDEX('Fakturaunderlag lokalnät'!$C$23:$C$65,MATCH($N33,'Fakturaunderlag lokalnät'!$AD$23:$AD$65,0))),3),"")</f>
        <v/>
      </c>
      <c r="B33" s="139" t="str">
        <f>_xlfn.IFNA(IF(INDEX('Fakturaunderlag lokalnät'!$E$23:$E$65,MATCH($N33,'Fakturaunderlag lokalnät'!$AD$23:$AD$65,0))=0,"",INDEX('Fakturaunderlag lokalnät'!$E$23:$E$65,MATCH($N33,'Fakturaunderlag lokalnät'!$AD$23:$AD$65,0))),"")</f>
        <v/>
      </c>
      <c r="C33" s="135"/>
      <c r="D33" s="140" t="str">
        <f>_xlfn.IFNA(IF(INDEX('Fakturaunderlag lokalnät'!$O$23:$O$65,MATCH($N33,'Fakturaunderlag lokalnät'!$AD$23:$AD$65,0))=0,"",INDEX('Fakturaunderlag lokalnät'!$O$23:$O$65,MATCH($N33,'Fakturaunderlag lokalnät'!$AD$23:$AD$65,0))),"")</f>
        <v/>
      </c>
      <c r="E33" s="140" t="str">
        <f>_xlfn.IFNA(IF(INDEX('Fakturaunderlag lokalnät'!$T$23:$T$65,MATCH($N33,'Fakturaunderlag lokalnät'!$AD$23:$AD$65,0))=0,"",INDEX('Fakturaunderlag lokalnät'!$T$23:$T$65,MATCH($N33,'Fakturaunderlag lokalnät'!$AD$23:$AD$65,0))),"")</f>
        <v/>
      </c>
      <c r="F33" s="140" t="str">
        <f>_xlfn.IFNA(IF(INDEX('Fakturaunderlag lokalnät'!$P$23:$P$65,MATCH($N33,'Fakturaunderlag lokalnät'!$AD$23:$AD$65,0))=0,"",INDEX('Fakturaunderlag lokalnät'!$P$23:$P$65,MATCH($N33,'Fakturaunderlag lokalnät'!$AD$23:$AD$65,0))),"")</f>
        <v/>
      </c>
      <c r="G33" s="140" t="str">
        <f>_xlfn.IFNA(IF(INDEX('Fakturaunderlag lokalnät'!$Q$23:$Q$65,MATCH($N33,'Fakturaunderlag lokalnät'!$AD$23:$AD$65,0))=0,"",INDEX('Fakturaunderlag lokalnät'!$Q$23:$Q$65,MATCH($N33,'Fakturaunderlag lokalnät'!$AD$23:$AD$65,0))),"")</f>
        <v/>
      </c>
      <c r="H33" s="140" t="str">
        <f>_xlfn.IFNA(IF(INDEX('Fakturaunderlag lokalnät'!$R$23:$R$65,MATCH($N33,'Fakturaunderlag lokalnät'!$AD$23:$AD$65,0))=0,"",INDEX('Fakturaunderlag lokalnät'!$R$23:$R$65,MATCH($N33,'Fakturaunderlag lokalnät'!$AD$23:$AD$65,0))),"")</f>
        <v/>
      </c>
      <c r="I33" s="140" t="str">
        <f>_xlfn.IFNA(IF(INDEX('Fakturaunderlag lokalnät'!$S$23:$S$65,MATCH($N33,'Fakturaunderlag lokalnät'!$AD$23:$AD$65,0))=0,"",INDEX('Fakturaunderlag lokalnät'!$S$23:$S$65,MATCH($N33,'Fakturaunderlag lokalnät'!$AD$23:$AD$65,0))),"")</f>
        <v/>
      </c>
      <c r="J33" s="153" t="str">
        <f>_xlfn.IFNA(IF(INDEX('Fakturaunderlag lokalnät'!$L$23:$L$65,MATCH($N33,'Fakturaunderlag lokalnät'!$AD$23:$AD$65,0))=0,"",INDEX('Fakturaunderlag lokalnät'!$L$23:$L$65,MATCH($N33,'Fakturaunderlag lokalnät'!$AD$23:$AD$65,0))),"")</f>
        <v/>
      </c>
      <c r="K33" s="139" t="str">
        <f>IF(B33="","",IF('Fakturaunderlag lokalnät'!$J$14="","",'Fakturaunderlag lokalnät'!$J$14))</f>
        <v/>
      </c>
      <c r="L33" s="140" t="str">
        <f>_xlfn.IFNA(IF(INDEX('Fakturaunderlag lokalnät'!$I$23:$I$65,MATCH($N33,'Fakturaunderlag lokalnät'!$AD$23:$AD$65,0))=0,"",INDEX('Fakturaunderlag lokalnät'!$I$23:$I$65,MATCH($N33,'Fakturaunderlag lokalnät'!$AD$23:$AD$65,0))),"")</f>
        <v/>
      </c>
      <c r="N33" s="148">
        <v>22</v>
      </c>
    </row>
    <row r="34" spans="1:14">
      <c r="A34" s="139" t="str">
        <f>_xlfn.IFNA(LEFT(IF(INDEX('Fakturaunderlag lokalnät'!$C$23:$C$65,MATCH($N34,'Fakturaunderlag lokalnät'!$AD$23:$AD$65,0))=0,"",INDEX('Fakturaunderlag lokalnät'!$C$23:$C$65,MATCH($N34,'Fakturaunderlag lokalnät'!$AD$23:$AD$65,0))),3),"")</f>
        <v/>
      </c>
      <c r="B34" s="139" t="str">
        <f>_xlfn.IFNA(IF(INDEX('Fakturaunderlag lokalnät'!$E$23:$E$65,MATCH($N34,'Fakturaunderlag lokalnät'!$AD$23:$AD$65,0))=0,"",INDEX('Fakturaunderlag lokalnät'!$E$23:$E$65,MATCH($N34,'Fakturaunderlag lokalnät'!$AD$23:$AD$65,0))),"")</f>
        <v/>
      </c>
      <c r="C34" s="135"/>
      <c r="D34" s="140" t="str">
        <f>_xlfn.IFNA(IF(INDEX('Fakturaunderlag lokalnät'!$O$23:$O$65,MATCH($N34,'Fakturaunderlag lokalnät'!$AD$23:$AD$65,0))=0,"",INDEX('Fakturaunderlag lokalnät'!$O$23:$O$65,MATCH($N34,'Fakturaunderlag lokalnät'!$AD$23:$AD$65,0))),"")</f>
        <v/>
      </c>
      <c r="E34" s="140" t="str">
        <f>_xlfn.IFNA(IF(INDEX('Fakturaunderlag lokalnät'!$T$23:$T$65,MATCH($N34,'Fakturaunderlag lokalnät'!$AD$23:$AD$65,0))=0,"",INDEX('Fakturaunderlag lokalnät'!$T$23:$T$65,MATCH($N34,'Fakturaunderlag lokalnät'!$AD$23:$AD$65,0))),"")</f>
        <v/>
      </c>
      <c r="F34" s="140" t="str">
        <f>_xlfn.IFNA(IF(INDEX('Fakturaunderlag lokalnät'!$P$23:$P$65,MATCH($N34,'Fakturaunderlag lokalnät'!$AD$23:$AD$65,0))=0,"",INDEX('Fakturaunderlag lokalnät'!$P$23:$P$65,MATCH($N34,'Fakturaunderlag lokalnät'!$AD$23:$AD$65,0))),"")</f>
        <v/>
      </c>
      <c r="G34" s="140" t="str">
        <f>_xlfn.IFNA(IF(INDEX('Fakturaunderlag lokalnät'!$Q$23:$Q$65,MATCH($N34,'Fakturaunderlag lokalnät'!$AD$23:$AD$65,0))=0,"",INDEX('Fakturaunderlag lokalnät'!$Q$23:$Q$65,MATCH($N34,'Fakturaunderlag lokalnät'!$AD$23:$AD$65,0))),"")</f>
        <v/>
      </c>
      <c r="H34" s="140" t="str">
        <f>_xlfn.IFNA(IF(INDEX('Fakturaunderlag lokalnät'!$R$23:$R$65,MATCH($N34,'Fakturaunderlag lokalnät'!$AD$23:$AD$65,0))=0,"",INDEX('Fakturaunderlag lokalnät'!$R$23:$R$65,MATCH($N34,'Fakturaunderlag lokalnät'!$AD$23:$AD$65,0))),"")</f>
        <v/>
      </c>
      <c r="I34" s="140" t="str">
        <f>_xlfn.IFNA(IF(INDEX('Fakturaunderlag lokalnät'!$S$23:$S$65,MATCH($N34,'Fakturaunderlag lokalnät'!$AD$23:$AD$65,0))=0,"",INDEX('Fakturaunderlag lokalnät'!$S$23:$S$65,MATCH($N34,'Fakturaunderlag lokalnät'!$AD$23:$AD$65,0))),"")</f>
        <v/>
      </c>
      <c r="J34" s="153" t="str">
        <f>_xlfn.IFNA(IF(INDEX('Fakturaunderlag lokalnät'!$L$23:$L$65,MATCH($N34,'Fakturaunderlag lokalnät'!$AD$23:$AD$65,0))=0,"",INDEX('Fakturaunderlag lokalnät'!$L$23:$L$65,MATCH($N34,'Fakturaunderlag lokalnät'!$AD$23:$AD$65,0))),"")</f>
        <v/>
      </c>
      <c r="K34" s="139" t="str">
        <f>IF(B34="","",IF('Fakturaunderlag lokalnät'!$J$14="","",'Fakturaunderlag lokalnät'!$J$14))</f>
        <v/>
      </c>
      <c r="L34" s="140" t="str">
        <f>_xlfn.IFNA(IF(INDEX('Fakturaunderlag lokalnät'!$I$23:$I$65,MATCH($N34,'Fakturaunderlag lokalnät'!$AD$23:$AD$65,0))=0,"",INDEX('Fakturaunderlag lokalnät'!$I$23:$I$65,MATCH($N34,'Fakturaunderlag lokalnät'!$AD$23:$AD$65,0))),"")</f>
        <v/>
      </c>
      <c r="N34" s="148">
        <v>23</v>
      </c>
    </row>
    <row r="35" spans="1:14">
      <c r="A35" s="139" t="str">
        <f>_xlfn.IFNA(LEFT(IF(INDEX('Fakturaunderlag lokalnät'!$C$23:$C$65,MATCH($N35,'Fakturaunderlag lokalnät'!$AD$23:$AD$65,0))=0,"",INDEX('Fakturaunderlag lokalnät'!$C$23:$C$65,MATCH($N35,'Fakturaunderlag lokalnät'!$AD$23:$AD$65,0))),3),"")</f>
        <v/>
      </c>
      <c r="B35" s="139" t="str">
        <f>_xlfn.IFNA(IF(INDEX('Fakturaunderlag lokalnät'!$E$23:$E$65,MATCH($N35,'Fakturaunderlag lokalnät'!$AD$23:$AD$65,0))=0,"",INDEX('Fakturaunderlag lokalnät'!$E$23:$E$65,MATCH($N35,'Fakturaunderlag lokalnät'!$AD$23:$AD$65,0))),"")</f>
        <v/>
      </c>
      <c r="C35" s="135"/>
      <c r="D35" s="140" t="str">
        <f>_xlfn.IFNA(IF(INDEX('Fakturaunderlag lokalnät'!$O$23:$O$65,MATCH($N35,'Fakturaunderlag lokalnät'!$AD$23:$AD$65,0))=0,"",INDEX('Fakturaunderlag lokalnät'!$O$23:$O$65,MATCH($N35,'Fakturaunderlag lokalnät'!$AD$23:$AD$65,0))),"")</f>
        <v/>
      </c>
      <c r="E35" s="140" t="str">
        <f>_xlfn.IFNA(IF(INDEX('Fakturaunderlag lokalnät'!$T$23:$T$65,MATCH($N35,'Fakturaunderlag lokalnät'!$AD$23:$AD$65,0))=0,"",INDEX('Fakturaunderlag lokalnät'!$T$23:$T$65,MATCH($N35,'Fakturaunderlag lokalnät'!$AD$23:$AD$65,0))),"")</f>
        <v/>
      </c>
      <c r="F35" s="140" t="str">
        <f>_xlfn.IFNA(IF(INDEX('Fakturaunderlag lokalnät'!$P$23:$P$65,MATCH($N35,'Fakturaunderlag lokalnät'!$AD$23:$AD$65,0))=0,"",INDEX('Fakturaunderlag lokalnät'!$P$23:$P$65,MATCH($N35,'Fakturaunderlag lokalnät'!$AD$23:$AD$65,0))),"")</f>
        <v/>
      </c>
      <c r="G35" s="140" t="str">
        <f>_xlfn.IFNA(IF(INDEX('Fakturaunderlag lokalnät'!$Q$23:$Q$65,MATCH($N35,'Fakturaunderlag lokalnät'!$AD$23:$AD$65,0))=0,"",INDEX('Fakturaunderlag lokalnät'!$Q$23:$Q$65,MATCH($N35,'Fakturaunderlag lokalnät'!$AD$23:$AD$65,0))),"")</f>
        <v/>
      </c>
      <c r="H35" s="140" t="str">
        <f>_xlfn.IFNA(IF(INDEX('Fakturaunderlag lokalnät'!$R$23:$R$65,MATCH($N35,'Fakturaunderlag lokalnät'!$AD$23:$AD$65,0))=0,"",INDEX('Fakturaunderlag lokalnät'!$R$23:$R$65,MATCH($N35,'Fakturaunderlag lokalnät'!$AD$23:$AD$65,0))),"")</f>
        <v/>
      </c>
      <c r="I35" s="140" t="str">
        <f>_xlfn.IFNA(IF(INDEX('Fakturaunderlag lokalnät'!$S$23:$S$65,MATCH($N35,'Fakturaunderlag lokalnät'!$AD$23:$AD$65,0))=0,"",INDEX('Fakturaunderlag lokalnät'!$S$23:$S$65,MATCH($N35,'Fakturaunderlag lokalnät'!$AD$23:$AD$65,0))),"")</f>
        <v/>
      </c>
      <c r="J35" s="153" t="str">
        <f>_xlfn.IFNA(IF(INDEX('Fakturaunderlag lokalnät'!$L$23:$L$65,MATCH($N35,'Fakturaunderlag lokalnät'!$AD$23:$AD$65,0))=0,"",INDEX('Fakturaunderlag lokalnät'!$L$23:$L$65,MATCH($N35,'Fakturaunderlag lokalnät'!$AD$23:$AD$65,0))),"")</f>
        <v/>
      </c>
      <c r="K35" s="139" t="str">
        <f>IF(B35="","",IF('Fakturaunderlag lokalnät'!$J$14="","",'Fakturaunderlag lokalnät'!$J$14))</f>
        <v/>
      </c>
      <c r="L35" s="140" t="str">
        <f>_xlfn.IFNA(IF(INDEX('Fakturaunderlag lokalnät'!$I$23:$I$65,MATCH($N35,'Fakturaunderlag lokalnät'!$AD$23:$AD$65,0))=0,"",INDEX('Fakturaunderlag lokalnät'!$I$23:$I$65,MATCH($N35,'Fakturaunderlag lokalnät'!$AD$23:$AD$65,0))),"")</f>
        <v/>
      </c>
      <c r="N35" s="148">
        <v>24</v>
      </c>
    </row>
    <row r="36" spans="1:14">
      <c r="A36" s="139" t="str">
        <f>_xlfn.IFNA(LEFT(IF(INDEX('Fakturaunderlag lokalnät'!$C$23:$C$65,MATCH($N36,'Fakturaunderlag lokalnät'!$AD$23:$AD$65,0))=0,"",INDEX('Fakturaunderlag lokalnät'!$C$23:$C$65,MATCH($N36,'Fakturaunderlag lokalnät'!$AD$23:$AD$65,0))),3),"")</f>
        <v/>
      </c>
      <c r="B36" s="139" t="str">
        <f>_xlfn.IFNA(IF(INDEX('Fakturaunderlag lokalnät'!$E$23:$E$65,MATCH($N36,'Fakturaunderlag lokalnät'!$AD$23:$AD$65,0))=0,"",INDEX('Fakturaunderlag lokalnät'!$E$23:$E$65,MATCH($N36,'Fakturaunderlag lokalnät'!$AD$23:$AD$65,0))),"")</f>
        <v/>
      </c>
      <c r="C36" s="135"/>
      <c r="D36" s="140" t="str">
        <f>_xlfn.IFNA(IF(INDEX('Fakturaunderlag lokalnät'!$O$23:$O$65,MATCH($N36,'Fakturaunderlag lokalnät'!$AD$23:$AD$65,0))=0,"",INDEX('Fakturaunderlag lokalnät'!$O$23:$O$65,MATCH($N36,'Fakturaunderlag lokalnät'!$AD$23:$AD$65,0))),"")</f>
        <v/>
      </c>
      <c r="E36" s="140" t="str">
        <f>_xlfn.IFNA(IF(INDEX('Fakturaunderlag lokalnät'!$T$23:$T$65,MATCH($N36,'Fakturaunderlag lokalnät'!$AD$23:$AD$65,0))=0,"",INDEX('Fakturaunderlag lokalnät'!$T$23:$T$65,MATCH($N36,'Fakturaunderlag lokalnät'!$AD$23:$AD$65,0))),"")</f>
        <v/>
      </c>
      <c r="F36" s="140" t="str">
        <f>_xlfn.IFNA(IF(INDEX('Fakturaunderlag lokalnät'!$P$23:$P$65,MATCH($N36,'Fakturaunderlag lokalnät'!$AD$23:$AD$65,0))=0,"",INDEX('Fakturaunderlag lokalnät'!$P$23:$P$65,MATCH($N36,'Fakturaunderlag lokalnät'!$AD$23:$AD$65,0))),"")</f>
        <v/>
      </c>
      <c r="G36" s="140" t="str">
        <f>_xlfn.IFNA(IF(INDEX('Fakturaunderlag lokalnät'!$Q$23:$Q$65,MATCH($N36,'Fakturaunderlag lokalnät'!$AD$23:$AD$65,0))=0,"",INDEX('Fakturaunderlag lokalnät'!$Q$23:$Q$65,MATCH($N36,'Fakturaunderlag lokalnät'!$AD$23:$AD$65,0))),"")</f>
        <v/>
      </c>
      <c r="H36" s="140" t="str">
        <f>_xlfn.IFNA(IF(INDEX('Fakturaunderlag lokalnät'!$R$23:$R$65,MATCH($N36,'Fakturaunderlag lokalnät'!$AD$23:$AD$65,0))=0,"",INDEX('Fakturaunderlag lokalnät'!$R$23:$R$65,MATCH($N36,'Fakturaunderlag lokalnät'!$AD$23:$AD$65,0))),"")</f>
        <v/>
      </c>
      <c r="I36" s="140" t="str">
        <f>_xlfn.IFNA(IF(INDEX('Fakturaunderlag lokalnät'!$S$23:$S$65,MATCH($N36,'Fakturaunderlag lokalnät'!$AD$23:$AD$65,0))=0,"",INDEX('Fakturaunderlag lokalnät'!$S$23:$S$65,MATCH($N36,'Fakturaunderlag lokalnät'!$AD$23:$AD$65,0))),"")</f>
        <v/>
      </c>
      <c r="J36" s="153" t="str">
        <f>_xlfn.IFNA(IF(INDEX('Fakturaunderlag lokalnät'!$L$23:$L$65,MATCH($N36,'Fakturaunderlag lokalnät'!$AD$23:$AD$65,0))=0,"",INDEX('Fakturaunderlag lokalnät'!$L$23:$L$65,MATCH($N36,'Fakturaunderlag lokalnät'!$AD$23:$AD$65,0))),"")</f>
        <v/>
      </c>
      <c r="K36" s="139" t="str">
        <f>IF(B36="","",IF('Fakturaunderlag lokalnät'!$J$14="","",'Fakturaunderlag lokalnät'!$J$14))</f>
        <v/>
      </c>
      <c r="L36" s="140" t="str">
        <f>_xlfn.IFNA(IF(INDEX('Fakturaunderlag lokalnät'!$I$23:$I$65,MATCH($N36,'Fakturaunderlag lokalnät'!$AD$23:$AD$65,0))=0,"",INDEX('Fakturaunderlag lokalnät'!$I$23:$I$65,MATCH($N36,'Fakturaunderlag lokalnät'!$AD$23:$AD$65,0))),"")</f>
        <v/>
      </c>
      <c r="N36" s="148">
        <v>25</v>
      </c>
    </row>
    <row r="37" spans="1:14">
      <c r="A37" s="139" t="str">
        <f>_xlfn.IFNA(LEFT(IF(INDEX('Fakturaunderlag lokalnät'!$C$23:$C$65,MATCH($N37,'Fakturaunderlag lokalnät'!$AD$23:$AD$65,0))=0,"",INDEX('Fakturaunderlag lokalnät'!$C$23:$C$65,MATCH($N37,'Fakturaunderlag lokalnät'!$AD$23:$AD$65,0))),3),"")</f>
        <v/>
      </c>
      <c r="B37" s="139" t="str">
        <f>_xlfn.IFNA(IF(INDEX('Fakturaunderlag lokalnät'!$E$23:$E$65,MATCH($N37,'Fakturaunderlag lokalnät'!$AD$23:$AD$65,0))=0,"",INDEX('Fakturaunderlag lokalnät'!$E$23:$E$65,MATCH($N37,'Fakturaunderlag lokalnät'!$AD$23:$AD$65,0))),"")</f>
        <v/>
      </c>
      <c r="C37" s="135"/>
      <c r="D37" s="140" t="str">
        <f>_xlfn.IFNA(IF(INDEX('Fakturaunderlag lokalnät'!$O$23:$O$65,MATCH($N37,'Fakturaunderlag lokalnät'!$AD$23:$AD$65,0))=0,"",INDEX('Fakturaunderlag lokalnät'!$O$23:$O$65,MATCH($N37,'Fakturaunderlag lokalnät'!$AD$23:$AD$65,0))),"")</f>
        <v/>
      </c>
      <c r="E37" s="140" t="str">
        <f>_xlfn.IFNA(IF(INDEX('Fakturaunderlag lokalnät'!$T$23:$T$65,MATCH($N37,'Fakturaunderlag lokalnät'!$AD$23:$AD$65,0))=0,"",INDEX('Fakturaunderlag lokalnät'!$T$23:$T$65,MATCH($N37,'Fakturaunderlag lokalnät'!$AD$23:$AD$65,0))),"")</f>
        <v/>
      </c>
      <c r="F37" s="140" t="str">
        <f>_xlfn.IFNA(IF(INDEX('Fakturaunderlag lokalnät'!$P$23:$P$65,MATCH($N37,'Fakturaunderlag lokalnät'!$AD$23:$AD$65,0))=0,"",INDEX('Fakturaunderlag lokalnät'!$P$23:$P$65,MATCH($N37,'Fakturaunderlag lokalnät'!$AD$23:$AD$65,0))),"")</f>
        <v/>
      </c>
      <c r="G37" s="140" t="str">
        <f>_xlfn.IFNA(IF(INDEX('Fakturaunderlag lokalnät'!$Q$23:$Q$65,MATCH($N37,'Fakturaunderlag lokalnät'!$AD$23:$AD$65,0))=0,"",INDEX('Fakturaunderlag lokalnät'!$Q$23:$Q$65,MATCH($N37,'Fakturaunderlag lokalnät'!$AD$23:$AD$65,0))),"")</f>
        <v/>
      </c>
      <c r="H37" s="140" t="str">
        <f>_xlfn.IFNA(IF(INDEX('Fakturaunderlag lokalnät'!$R$23:$R$65,MATCH($N37,'Fakturaunderlag lokalnät'!$AD$23:$AD$65,0))=0,"",INDEX('Fakturaunderlag lokalnät'!$R$23:$R$65,MATCH($N37,'Fakturaunderlag lokalnät'!$AD$23:$AD$65,0))),"")</f>
        <v/>
      </c>
      <c r="I37" s="140" t="str">
        <f>_xlfn.IFNA(IF(INDEX('Fakturaunderlag lokalnät'!$S$23:$S$65,MATCH($N37,'Fakturaunderlag lokalnät'!$AD$23:$AD$65,0))=0,"",INDEX('Fakturaunderlag lokalnät'!$S$23:$S$65,MATCH($N37,'Fakturaunderlag lokalnät'!$AD$23:$AD$65,0))),"")</f>
        <v/>
      </c>
      <c r="J37" s="153" t="str">
        <f>_xlfn.IFNA(IF(INDEX('Fakturaunderlag lokalnät'!$L$23:$L$65,MATCH($N37,'Fakturaunderlag lokalnät'!$AD$23:$AD$65,0))=0,"",INDEX('Fakturaunderlag lokalnät'!$L$23:$L$65,MATCH($N37,'Fakturaunderlag lokalnät'!$AD$23:$AD$65,0))),"")</f>
        <v/>
      </c>
      <c r="K37" s="139" t="str">
        <f>IF(B37="","",IF('Fakturaunderlag lokalnät'!$J$14="","",'Fakturaunderlag lokalnät'!$J$14))</f>
        <v/>
      </c>
      <c r="L37" s="140" t="str">
        <f>_xlfn.IFNA(IF(INDEX('Fakturaunderlag lokalnät'!$I$23:$I$65,MATCH($N37,'Fakturaunderlag lokalnät'!$AD$23:$AD$65,0))=0,"",INDEX('Fakturaunderlag lokalnät'!$I$23:$I$65,MATCH($N37,'Fakturaunderlag lokalnät'!$AD$23:$AD$65,0))),"")</f>
        <v/>
      </c>
      <c r="N37" s="148">
        <v>26</v>
      </c>
    </row>
    <row r="38" spans="1:14">
      <c r="A38" s="139" t="str">
        <f>_xlfn.IFNA(LEFT(IF(INDEX('Fakturaunderlag lokalnät'!$C$23:$C$65,MATCH($N38,'Fakturaunderlag lokalnät'!$AD$23:$AD$65,0))=0,"",INDEX('Fakturaunderlag lokalnät'!$C$23:$C$65,MATCH($N38,'Fakturaunderlag lokalnät'!$AD$23:$AD$65,0))),3),"")</f>
        <v/>
      </c>
      <c r="B38" s="139" t="str">
        <f>_xlfn.IFNA(IF(INDEX('Fakturaunderlag lokalnät'!$E$23:$E$65,MATCH($N38,'Fakturaunderlag lokalnät'!$AD$23:$AD$65,0))=0,"",INDEX('Fakturaunderlag lokalnät'!$E$23:$E$65,MATCH($N38,'Fakturaunderlag lokalnät'!$AD$23:$AD$65,0))),"")</f>
        <v/>
      </c>
      <c r="C38" s="135"/>
      <c r="D38" s="140" t="str">
        <f>_xlfn.IFNA(IF(INDEX('Fakturaunderlag lokalnät'!$O$23:$O$65,MATCH($N38,'Fakturaunderlag lokalnät'!$AD$23:$AD$65,0))=0,"",INDEX('Fakturaunderlag lokalnät'!$O$23:$O$65,MATCH($N38,'Fakturaunderlag lokalnät'!$AD$23:$AD$65,0))),"")</f>
        <v/>
      </c>
      <c r="E38" s="140" t="str">
        <f>_xlfn.IFNA(IF(INDEX('Fakturaunderlag lokalnät'!$T$23:$T$65,MATCH($N38,'Fakturaunderlag lokalnät'!$AD$23:$AD$65,0))=0,"",INDEX('Fakturaunderlag lokalnät'!$T$23:$T$65,MATCH($N38,'Fakturaunderlag lokalnät'!$AD$23:$AD$65,0))),"")</f>
        <v/>
      </c>
      <c r="F38" s="140" t="str">
        <f>_xlfn.IFNA(IF(INDEX('Fakturaunderlag lokalnät'!$P$23:$P$65,MATCH($N38,'Fakturaunderlag lokalnät'!$AD$23:$AD$65,0))=0,"",INDEX('Fakturaunderlag lokalnät'!$P$23:$P$65,MATCH($N38,'Fakturaunderlag lokalnät'!$AD$23:$AD$65,0))),"")</f>
        <v/>
      </c>
      <c r="G38" s="140" t="str">
        <f>_xlfn.IFNA(IF(INDEX('Fakturaunderlag lokalnät'!$Q$23:$Q$65,MATCH($N38,'Fakturaunderlag lokalnät'!$AD$23:$AD$65,0))=0,"",INDEX('Fakturaunderlag lokalnät'!$Q$23:$Q$65,MATCH($N38,'Fakturaunderlag lokalnät'!$AD$23:$AD$65,0))),"")</f>
        <v/>
      </c>
      <c r="H38" s="140" t="str">
        <f>_xlfn.IFNA(IF(INDEX('Fakturaunderlag lokalnät'!$R$23:$R$65,MATCH($N38,'Fakturaunderlag lokalnät'!$AD$23:$AD$65,0))=0,"",INDEX('Fakturaunderlag lokalnät'!$R$23:$R$65,MATCH($N38,'Fakturaunderlag lokalnät'!$AD$23:$AD$65,0))),"")</f>
        <v/>
      </c>
      <c r="I38" s="140" t="str">
        <f>_xlfn.IFNA(IF(INDEX('Fakturaunderlag lokalnät'!$S$23:$S$65,MATCH($N38,'Fakturaunderlag lokalnät'!$AD$23:$AD$65,0))=0,"",INDEX('Fakturaunderlag lokalnät'!$S$23:$S$65,MATCH($N38,'Fakturaunderlag lokalnät'!$AD$23:$AD$65,0))),"")</f>
        <v/>
      </c>
      <c r="J38" s="153" t="str">
        <f>_xlfn.IFNA(IF(INDEX('Fakturaunderlag lokalnät'!$L$23:$L$65,MATCH($N38,'Fakturaunderlag lokalnät'!$AD$23:$AD$65,0))=0,"",INDEX('Fakturaunderlag lokalnät'!$L$23:$L$65,MATCH($N38,'Fakturaunderlag lokalnät'!$AD$23:$AD$65,0))),"")</f>
        <v/>
      </c>
      <c r="K38" s="139" t="str">
        <f>IF(B38="","",IF('Fakturaunderlag lokalnät'!$J$14="","",'Fakturaunderlag lokalnät'!$J$14))</f>
        <v/>
      </c>
      <c r="L38" s="140" t="str">
        <f>_xlfn.IFNA(IF(INDEX('Fakturaunderlag lokalnät'!$I$23:$I$65,MATCH($N38,'Fakturaunderlag lokalnät'!$AD$23:$AD$65,0))=0,"",INDEX('Fakturaunderlag lokalnät'!$I$23:$I$65,MATCH($N38,'Fakturaunderlag lokalnät'!$AD$23:$AD$65,0))),"")</f>
        <v/>
      </c>
      <c r="N38" s="148">
        <v>27</v>
      </c>
    </row>
    <row r="39" spans="1:14">
      <c r="A39" s="139" t="str">
        <f>_xlfn.IFNA(LEFT(IF(INDEX('Fakturaunderlag lokalnät'!$C$23:$C$65,MATCH($N39,'Fakturaunderlag lokalnät'!$AD$23:$AD$65,0))=0,"",INDEX('Fakturaunderlag lokalnät'!$C$23:$C$65,MATCH($N39,'Fakturaunderlag lokalnät'!$AD$23:$AD$65,0))),3),"")</f>
        <v/>
      </c>
      <c r="B39" s="139" t="str">
        <f>_xlfn.IFNA(IF(INDEX('Fakturaunderlag lokalnät'!$E$23:$E$65,MATCH($N39,'Fakturaunderlag lokalnät'!$AD$23:$AD$65,0))=0,"",INDEX('Fakturaunderlag lokalnät'!$E$23:$E$65,MATCH($N39,'Fakturaunderlag lokalnät'!$AD$23:$AD$65,0))),"")</f>
        <v/>
      </c>
      <c r="C39" s="135"/>
      <c r="D39" s="140" t="str">
        <f>_xlfn.IFNA(IF(INDEX('Fakturaunderlag lokalnät'!$O$23:$O$65,MATCH($N39,'Fakturaunderlag lokalnät'!$AD$23:$AD$65,0))=0,"",INDEX('Fakturaunderlag lokalnät'!$O$23:$O$65,MATCH($N39,'Fakturaunderlag lokalnät'!$AD$23:$AD$65,0))),"")</f>
        <v/>
      </c>
      <c r="E39" s="140" t="str">
        <f>_xlfn.IFNA(IF(INDEX('Fakturaunderlag lokalnät'!$T$23:$T$65,MATCH($N39,'Fakturaunderlag lokalnät'!$AD$23:$AD$65,0))=0,"",INDEX('Fakturaunderlag lokalnät'!$T$23:$T$65,MATCH($N39,'Fakturaunderlag lokalnät'!$AD$23:$AD$65,0))),"")</f>
        <v/>
      </c>
      <c r="F39" s="140" t="str">
        <f>_xlfn.IFNA(IF(INDEX('Fakturaunderlag lokalnät'!$P$23:$P$65,MATCH($N39,'Fakturaunderlag lokalnät'!$AD$23:$AD$65,0))=0,"",INDEX('Fakturaunderlag lokalnät'!$P$23:$P$65,MATCH($N39,'Fakturaunderlag lokalnät'!$AD$23:$AD$65,0))),"")</f>
        <v/>
      </c>
      <c r="G39" s="140" t="str">
        <f>_xlfn.IFNA(IF(INDEX('Fakturaunderlag lokalnät'!$Q$23:$Q$65,MATCH($N39,'Fakturaunderlag lokalnät'!$AD$23:$AD$65,0))=0,"",INDEX('Fakturaunderlag lokalnät'!$Q$23:$Q$65,MATCH($N39,'Fakturaunderlag lokalnät'!$AD$23:$AD$65,0))),"")</f>
        <v/>
      </c>
      <c r="H39" s="140" t="str">
        <f>_xlfn.IFNA(IF(INDEX('Fakturaunderlag lokalnät'!$R$23:$R$65,MATCH($N39,'Fakturaunderlag lokalnät'!$AD$23:$AD$65,0))=0,"",INDEX('Fakturaunderlag lokalnät'!$R$23:$R$65,MATCH($N39,'Fakturaunderlag lokalnät'!$AD$23:$AD$65,0))),"")</f>
        <v/>
      </c>
      <c r="I39" s="140" t="str">
        <f>_xlfn.IFNA(IF(INDEX('Fakturaunderlag lokalnät'!$S$23:$S$65,MATCH($N39,'Fakturaunderlag lokalnät'!$AD$23:$AD$65,0))=0,"",INDEX('Fakturaunderlag lokalnät'!$S$23:$S$65,MATCH($N39,'Fakturaunderlag lokalnät'!$AD$23:$AD$65,0))),"")</f>
        <v/>
      </c>
      <c r="J39" s="153" t="str">
        <f>_xlfn.IFNA(IF(INDEX('Fakturaunderlag lokalnät'!$L$23:$L$65,MATCH($N39,'Fakturaunderlag lokalnät'!$AD$23:$AD$65,0))=0,"",INDEX('Fakturaunderlag lokalnät'!$L$23:$L$65,MATCH($N39,'Fakturaunderlag lokalnät'!$AD$23:$AD$65,0))),"")</f>
        <v/>
      </c>
      <c r="K39" s="139" t="str">
        <f>IF(B39="","",IF('Fakturaunderlag lokalnät'!$J$14="","",'Fakturaunderlag lokalnät'!$J$14))</f>
        <v/>
      </c>
      <c r="L39" s="140" t="str">
        <f>_xlfn.IFNA(IF(INDEX('Fakturaunderlag lokalnät'!$I$23:$I$65,MATCH($N39,'Fakturaunderlag lokalnät'!$AD$23:$AD$65,0))=0,"",INDEX('Fakturaunderlag lokalnät'!$I$23:$I$65,MATCH($N39,'Fakturaunderlag lokalnät'!$AD$23:$AD$65,0))),"")</f>
        <v/>
      </c>
      <c r="N39" s="148">
        <v>28</v>
      </c>
    </row>
    <row r="40" spans="1:14">
      <c r="A40" s="139" t="str">
        <f>_xlfn.IFNA(LEFT(IF(INDEX('Fakturaunderlag lokalnät'!$C$23:$C$65,MATCH($N40,'Fakturaunderlag lokalnät'!$AD$23:$AD$65,0))=0,"",INDEX('Fakturaunderlag lokalnät'!$C$23:$C$65,MATCH($N40,'Fakturaunderlag lokalnät'!$AD$23:$AD$65,0))),3),"")</f>
        <v/>
      </c>
      <c r="B40" s="139" t="str">
        <f>_xlfn.IFNA(IF(INDEX('Fakturaunderlag lokalnät'!$E$23:$E$65,MATCH($N40,'Fakturaunderlag lokalnät'!$AD$23:$AD$65,0))=0,"",INDEX('Fakturaunderlag lokalnät'!$E$23:$E$65,MATCH($N40,'Fakturaunderlag lokalnät'!$AD$23:$AD$65,0))),"")</f>
        <v/>
      </c>
      <c r="C40" s="135"/>
      <c r="D40" s="140" t="str">
        <f>_xlfn.IFNA(IF(INDEX('Fakturaunderlag lokalnät'!$O$23:$O$65,MATCH($N40,'Fakturaunderlag lokalnät'!$AD$23:$AD$65,0))=0,"",INDEX('Fakturaunderlag lokalnät'!$O$23:$O$65,MATCH($N40,'Fakturaunderlag lokalnät'!$AD$23:$AD$65,0))),"")</f>
        <v/>
      </c>
      <c r="E40" s="140" t="str">
        <f>_xlfn.IFNA(IF(INDEX('Fakturaunderlag lokalnät'!$T$23:$T$65,MATCH($N40,'Fakturaunderlag lokalnät'!$AD$23:$AD$65,0))=0,"",INDEX('Fakturaunderlag lokalnät'!$T$23:$T$65,MATCH($N40,'Fakturaunderlag lokalnät'!$AD$23:$AD$65,0))),"")</f>
        <v/>
      </c>
      <c r="F40" s="140" t="str">
        <f>_xlfn.IFNA(IF(INDEX('Fakturaunderlag lokalnät'!$P$23:$P$65,MATCH($N40,'Fakturaunderlag lokalnät'!$AD$23:$AD$65,0))=0,"",INDEX('Fakturaunderlag lokalnät'!$P$23:$P$65,MATCH($N40,'Fakturaunderlag lokalnät'!$AD$23:$AD$65,0))),"")</f>
        <v/>
      </c>
      <c r="G40" s="140" t="str">
        <f>_xlfn.IFNA(IF(INDEX('Fakturaunderlag lokalnät'!$Q$23:$Q$65,MATCH($N40,'Fakturaunderlag lokalnät'!$AD$23:$AD$65,0))=0,"",INDEX('Fakturaunderlag lokalnät'!$Q$23:$Q$65,MATCH($N40,'Fakturaunderlag lokalnät'!$AD$23:$AD$65,0))),"")</f>
        <v/>
      </c>
      <c r="H40" s="140" t="str">
        <f>_xlfn.IFNA(IF(INDEX('Fakturaunderlag lokalnät'!$R$23:$R$65,MATCH($N40,'Fakturaunderlag lokalnät'!$AD$23:$AD$65,0))=0,"",INDEX('Fakturaunderlag lokalnät'!$R$23:$R$65,MATCH($N40,'Fakturaunderlag lokalnät'!$AD$23:$AD$65,0))),"")</f>
        <v/>
      </c>
      <c r="I40" s="140" t="str">
        <f>_xlfn.IFNA(IF(INDEX('Fakturaunderlag lokalnät'!$S$23:$S$65,MATCH($N40,'Fakturaunderlag lokalnät'!$AD$23:$AD$65,0))=0,"",INDEX('Fakturaunderlag lokalnät'!$S$23:$S$65,MATCH($N40,'Fakturaunderlag lokalnät'!$AD$23:$AD$65,0))),"")</f>
        <v/>
      </c>
      <c r="J40" s="153" t="str">
        <f>_xlfn.IFNA(IF(INDEX('Fakturaunderlag lokalnät'!$L$23:$L$65,MATCH($N40,'Fakturaunderlag lokalnät'!$AD$23:$AD$65,0))=0,"",INDEX('Fakturaunderlag lokalnät'!$L$23:$L$65,MATCH($N40,'Fakturaunderlag lokalnät'!$AD$23:$AD$65,0))),"")</f>
        <v/>
      </c>
      <c r="K40" s="139" t="str">
        <f>IF(B40="","",IF('Fakturaunderlag lokalnät'!$J$14="","",'Fakturaunderlag lokalnät'!$J$14))</f>
        <v/>
      </c>
      <c r="L40" s="140" t="str">
        <f>_xlfn.IFNA(IF(INDEX('Fakturaunderlag lokalnät'!$I$23:$I$65,MATCH($N40,'Fakturaunderlag lokalnät'!$AD$23:$AD$65,0))=0,"",INDEX('Fakturaunderlag lokalnät'!$I$23:$I$65,MATCH($N40,'Fakturaunderlag lokalnät'!$AD$23:$AD$65,0))),"")</f>
        <v/>
      </c>
      <c r="N40" s="148">
        <v>29</v>
      </c>
    </row>
    <row r="41" spans="1:14">
      <c r="A41" s="139" t="str">
        <f>_xlfn.IFNA(LEFT(IF(INDEX('Fakturaunderlag lokalnät'!$C$23:$C$65,MATCH($N41,'Fakturaunderlag lokalnät'!$AD$23:$AD$65,0))=0,"",INDEX('Fakturaunderlag lokalnät'!$C$23:$C$65,MATCH($N41,'Fakturaunderlag lokalnät'!$AD$23:$AD$65,0))),3),"")</f>
        <v/>
      </c>
      <c r="B41" s="139" t="str">
        <f>_xlfn.IFNA(IF(INDEX('Fakturaunderlag lokalnät'!$E$23:$E$65,MATCH($N41,'Fakturaunderlag lokalnät'!$AD$23:$AD$65,0))=0,"",INDEX('Fakturaunderlag lokalnät'!$E$23:$E$65,MATCH($N41,'Fakturaunderlag lokalnät'!$AD$23:$AD$65,0))),"")</f>
        <v/>
      </c>
      <c r="C41" s="135"/>
      <c r="D41" s="140" t="str">
        <f>_xlfn.IFNA(IF(INDEX('Fakturaunderlag lokalnät'!$O$23:$O$65,MATCH($N41,'Fakturaunderlag lokalnät'!$AD$23:$AD$65,0))=0,"",INDEX('Fakturaunderlag lokalnät'!$O$23:$O$65,MATCH($N41,'Fakturaunderlag lokalnät'!$AD$23:$AD$65,0))),"")</f>
        <v/>
      </c>
      <c r="E41" s="140" t="str">
        <f>_xlfn.IFNA(IF(INDEX('Fakturaunderlag lokalnät'!$T$23:$T$65,MATCH($N41,'Fakturaunderlag lokalnät'!$AD$23:$AD$65,0))=0,"",INDEX('Fakturaunderlag lokalnät'!$T$23:$T$65,MATCH($N41,'Fakturaunderlag lokalnät'!$AD$23:$AD$65,0))),"")</f>
        <v/>
      </c>
      <c r="F41" s="140" t="str">
        <f>_xlfn.IFNA(IF(INDEX('Fakturaunderlag lokalnät'!$P$23:$P$65,MATCH($N41,'Fakturaunderlag lokalnät'!$AD$23:$AD$65,0))=0,"",INDEX('Fakturaunderlag lokalnät'!$P$23:$P$65,MATCH($N41,'Fakturaunderlag lokalnät'!$AD$23:$AD$65,0))),"")</f>
        <v/>
      </c>
      <c r="G41" s="140" t="str">
        <f>_xlfn.IFNA(IF(INDEX('Fakturaunderlag lokalnät'!$Q$23:$Q$65,MATCH($N41,'Fakturaunderlag lokalnät'!$AD$23:$AD$65,0))=0,"",INDEX('Fakturaunderlag lokalnät'!$Q$23:$Q$65,MATCH($N41,'Fakturaunderlag lokalnät'!$AD$23:$AD$65,0))),"")</f>
        <v/>
      </c>
      <c r="H41" s="140" t="str">
        <f>_xlfn.IFNA(IF(INDEX('Fakturaunderlag lokalnät'!$R$23:$R$65,MATCH($N41,'Fakturaunderlag lokalnät'!$AD$23:$AD$65,0))=0,"",INDEX('Fakturaunderlag lokalnät'!$R$23:$R$65,MATCH($N41,'Fakturaunderlag lokalnät'!$AD$23:$AD$65,0))),"")</f>
        <v/>
      </c>
      <c r="I41" s="140" t="str">
        <f>_xlfn.IFNA(IF(INDEX('Fakturaunderlag lokalnät'!$S$23:$S$65,MATCH($N41,'Fakturaunderlag lokalnät'!$AD$23:$AD$65,0))=0,"",INDEX('Fakturaunderlag lokalnät'!$S$23:$S$65,MATCH($N41,'Fakturaunderlag lokalnät'!$AD$23:$AD$65,0))),"")</f>
        <v/>
      </c>
      <c r="J41" s="153" t="str">
        <f>_xlfn.IFNA(IF(INDEX('Fakturaunderlag lokalnät'!$L$23:$L$65,MATCH($N41,'Fakturaunderlag lokalnät'!$AD$23:$AD$65,0))=0,"",INDEX('Fakturaunderlag lokalnät'!$L$23:$L$65,MATCH($N41,'Fakturaunderlag lokalnät'!$AD$23:$AD$65,0))),"")</f>
        <v/>
      </c>
      <c r="K41" s="139" t="str">
        <f>IF(B41="","",IF('Fakturaunderlag lokalnät'!$J$14="","",'Fakturaunderlag lokalnät'!$J$14))</f>
        <v/>
      </c>
      <c r="L41" s="140" t="str">
        <f>_xlfn.IFNA(IF(INDEX('Fakturaunderlag lokalnät'!$I$23:$I$65,MATCH($N41,'Fakturaunderlag lokalnät'!$AD$23:$AD$65,0))=0,"",INDEX('Fakturaunderlag lokalnät'!$I$23:$I$65,MATCH($N41,'Fakturaunderlag lokalnät'!$AD$23:$AD$65,0))),"")</f>
        <v/>
      </c>
      <c r="N41" s="148">
        <v>30</v>
      </c>
    </row>
    <row r="42" spans="1:14">
      <c r="A42" s="139" t="str">
        <f>_xlfn.IFNA(LEFT(IF(INDEX('Fakturaunderlag lokalnät'!$C$23:$C$65,MATCH($N42,'Fakturaunderlag lokalnät'!$AD$23:$AD$65,0))=0,"",INDEX('Fakturaunderlag lokalnät'!$C$23:$C$65,MATCH($N42,'Fakturaunderlag lokalnät'!$AD$23:$AD$65,0))),3),"")</f>
        <v/>
      </c>
      <c r="B42" s="139" t="str">
        <f>_xlfn.IFNA(IF(INDEX('Fakturaunderlag lokalnät'!$E$23:$E$65,MATCH($N42,'Fakturaunderlag lokalnät'!$AD$23:$AD$65,0))=0,"",INDEX('Fakturaunderlag lokalnät'!$E$23:$E$65,MATCH($N42,'Fakturaunderlag lokalnät'!$AD$23:$AD$65,0))),"")</f>
        <v/>
      </c>
      <c r="C42" s="135"/>
      <c r="D42" s="140" t="str">
        <f>_xlfn.IFNA(IF(INDEX('Fakturaunderlag lokalnät'!$O$23:$O$65,MATCH($N42,'Fakturaunderlag lokalnät'!$AD$23:$AD$65,0))=0,"",INDEX('Fakturaunderlag lokalnät'!$O$23:$O$65,MATCH($N42,'Fakturaunderlag lokalnät'!$AD$23:$AD$65,0))),"")</f>
        <v/>
      </c>
      <c r="E42" s="140" t="str">
        <f>_xlfn.IFNA(IF(INDEX('Fakturaunderlag lokalnät'!$T$23:$T$65,MATCH($N42,'Fakturaunderlag lokalnät'!$AD$23:$AD$65,0))=0,"",INDEX('Fakturaunderlag lokalnät'!$T$23:$T$65,MATCH($N42,'Fakturaunderlag lokalnät'!$AD$23:$AD$65,0))),"")</f>
        <v/>
      </c>
      <c r="F42" s="140" t="str">
        <f>_xlfn.IFNA(IF(INDEX('Fakturaunderlag lokalnät'!$P$23:$P$65,MATCH($N42,'Fakturaunderlag lokalnät'!$AD$23:$AD$65,0))=0,"",INDEX('Fakturaunderlag lokalnät'!$P$23:$P$65,MATCH($N42,'Fakturaunderlag lokalnät'!$AD$23:$AD$65,0))),"")</f>
        <v/>
      </c>
      <c r="G42" s="140" t="str">
        <f>_xlfn.IFNA(IF(INDEX('Fakturaunderlag lokalnät'!$Q$23:$Q$65,MATCH($N42,'Fakturaunderlag lokalnät'!$AD$23:$AD$65,0))=0,"",INDEX('Fakturaunderlag lokalnät'!$Q$23:$Q$65,MATCH($N42,'Fakturaunderlag lokalnät'!$AD$23:$AD$65,0))),"")</f>
        <v/>
      </c>
      <c r="H42" s="140" t="str">
        <f>_xlfn.IFNA(IF(INDEX('Fakturaunderlag lokalnät'!$R$23:$R$65,MATCH($N42,'Fakturaunderlag lokalnät'!$AD$23:$AD$65,0))=0,"",INDEX('Fakturaunderlag lokalnät'!$R$23:$R$65,MATCH($N42,'Fakturaunderlag lokalnät'!$AD$23:$AD$65,0))),"")</f>
        <v/>
      </c>
      <c r="I42" s="140" t="str">
        <f>_xlfn.IFNA(IF(INDEX('Fakturaunderlag lokalnät'!$S$23:$S$65,MATCH($N42,'Fakturaunderlag lokalnät'!$AD$23:$AD$65,0))=0,"",INDEX('Fakturaunderlag lokalnät'!$S$23:$S$65,MATCH($N42,'Fakturaunderlag lokalnät'!$AD$23:$AD$65,0))),"")</f>
        <v/>
      </c>
      <c r="J42" s="153" t="str">
        <f>_xlfn.IFNA(IF(INDEX('Fakturaunderlag lokalnät'!$L$23:$L$65,MATCH($N42,'Fakturaunderlag lokalnät'!$AD$23:$AD$65,0))=0,"",INDEX('Fakturaunderlag lokalnät'!$L$23:$L$65,MATCH($N42,'Fakturaunderlag lokalnät'!$AD$23:$AD$65,0))),"")</f>
        <v/>
      </c>
      <c r="K42" s="139" t="str">
        <f>IF(B42="","",IF('Fakturaunderlag lokalnät'!$J$14="","",'Fakturaunderlag lokalnät'!$J$14))</f>
        <v/>
      </c>
      <c r="L42" s="140" t="str">
        <f>_xlfn.IFNA(IF(INDEX('Fakturaunderlag lokalnät'!$I$23:$I$65,MATCH($N42,'Fakturaunderlag lokalnät'!$AD$23:$AD$65,0))=0,"",INDEX('Fakturaunderlag lokalnät'!$I$23:$I$65,MATCH($N42,'Fakturaunderlag lokalnät'!$AD$23:$AD$65,0))),"")</f>
        <v/>
      </c>
      <c r="N42" s="148">
        <v>31</v>
      </c>
    </row>
    <row r="43" spans="1:14">
      <c r="A43" s="139" t="str">
        <f>_xlfn.IFNA(LEFT(IF(INDEX('Fakturaunderlag lokalnät'!$C$23:$C$65,MATCH($N43,'Fakturaunderlag lokalnät'!$AD$23:$AD$65,0))=0,"",INDEX('Fakturaunderlag lokalnät'!$C$23:$C$65,MATCH($N43,'Fakturaunderlag lokalnät'!$AD$23:$AD$65,0))),3),"")</f>
        <v/>
      </c>
      <c r="B43" s="139" t="str">
        <f>_xlfn.IFNA(IF(INDEX('Fakturaunderlag lokalnät'!$E$23:$E$65,MATCH($N43,'Fakturaunderlag lokalnät'!$AD$23:$AD$65,0))=0,"",INDEX('Fakturaunderlag lokalnät'!$E$23:$E$65,MATCH($N43,'Fakturaunderlag lokalnät'!$AD$23:$AD$65,0))),"")</f>
        <v/>
      </c>
      <c r="C43" s="135"/>
      <c r="D43" s="140" t="str">
        <f>_xlfn.IFNA(IF(INDEX('Fakturaunderlag lokalnät'!$O$23:$O$65,MATCH($N43,'Fakturaunderlag lokalnät'!$AD$23:$AD$65,0))=0,"",INDEX('Fakturaunderlag lokalnät'!$O$23:$O$65,MATCH($N43,'Fakturaunderlag lokalnät'!$AD$23:$AD$65,0))),"")</f>
        <v/>
      </c>
      <c r="E43" s="140" t="str">
        <f>_xlfn.IFNA(IF(INDEX('Fakturaunderlag lokalnät'!$T$23:$T$65,MATCH($N43,'Fakturaunderlag lokalnät'!$AD$23:$AD$65,0))=0,"",INDEX('Fakturaunderlag lokalnät'!$T$23:$T$65,MATCH($N43,'Fakturaunderlag lokalnät'!$AD$23:$AD$65,0))),"")</f>
        <v/>
      </c>
      <c r="F43" s="140" t="str">
        <f>_xlfn.IFNA(IF(INDEX('Fakturaunderlag lokalnät'!$P$23:$P$65,MATCH($N43,'Fakturaunderlag lokalnät'!$AD$23:$AD$65,0))=0,"",INDEX('Fakturaunderlag lokalnät'!$P$23:$P$65,MATCH($N43,'Fakturaunderlag lokalnät'!$AD$23:$AD$65,0))),"")</f>
        <v/>
      </c>
      <c r="G43" s="140" t="str">
        <f>_xlfn.IFNA(IF(INDEX('Fakturaunderlag lokalnät'!$Q$23:$Q$65,MATCH($N43,'Fakturaunderlag lokalnät'!$AD$23:$AD$65,0))=0,"",INDEX('Fakturaunderlag lokalnät'!$Q$23:$Q$65,MATCH($N43,'Fakturaunderlag lokalnät'!$AD$23:$AD$65,0))),"")</f>
        <v/>
      </c>
      <c r="H43" s="140" t="str">
        <f>_xlfn.IFNA(IF(INDEX('Fakturaunderlag lokalnät'!$R$23:$R$65,MATCH($N43,'Fakturaunderlag lokalnät'!$AD$23:$AD$65,0))=0,"",INDEX('Fakturaunderlag lokalnät'!$R$23:$R$65,MATCH($N43,'Fakturaunderlag lokalnät'!$AD$23:$AD$65,0))),"")</f>
        <v/>
      </c>
      <c r="I43" s="140" t="str">
        <f>_xlfn.IFNA(IF(INDEX('Fakturaunderlag lokalnät'!$S$23:$S$65,MATCH($N43,'Fakturaunderlag lokalnät'!$AD$23:$AD$65,0))=0,"",INDEX('Fakturaunderlag lokalnät'!$S$23:$S$65,MATCH($N43,'Fakturaunderlag lokalnät'!$AD$23:$AD$65,0))),"")</f>
        <v/>
      </c>
      <c r="J43" s="153" t="str">
        <f>_xlfn.IFNA(IF(INDEX('Fakturaunderlag lokalnät'!$L$23:$L$65,MATCH($N43,'Fakturaunderlag lokalnät'!$AD$23:$AD$65,0))=0,"",INDEX('Fakturaunderlag lokalnät'!$L$23:$L$65,MATCH($N43,'Fakturaunderlag lokalnät'!$AD$23:$AD$65,0))),"")</f>
        <v/>
      </c>
      <c r="K43" s="139" t="str">
        <f>IF(B43="","",IF('Fakturaunderlag lokalnät'!$J$14="","",'Fakturaunderlag lokalnät'!$J$14))</f>
        <v/>
      </c>
      <c r="L43" s="140" t="str">
        <f>_xlfn.IFNA(IF(INDEX('Fakturaunderlag lokalnät'!$I$23:$I$65,MATCH($N43,'Fakturaunderlag lokalnät'!$AD$23:$AD$65,0))=0,"",INDEX('Fakturaunderlag lokalnät'!$I$23:$I$65,MATCH($N43,'Fakturaunderlag lokalnät'!$AD$23:$AD$65,0))),"")</f>
        <v/>
      </c>
      <c r="N43" s="148">
        <v>32</v>
      </c>
    </row>
    <row r="44" spans="1:14">
      <c r="A44" s="139" t="str">
        <f>_xlfn.IFNA(LEFT(IF(INDEX('Fakturaunderlag lokalnät'!$C$23:$C$65,MATCH($N44,'Fakturaunderlag lokalnät'!$AD$23:$AD$65,0))=0,"",INDEX('Fakturaunderlag lokalnät'!$C$23:$C$65,MATCH($N44,'Fakturaunderlag lokalnät'!$AD$23:$AD$65,0))),3),"")</f>
        <v/>
      </c>
      <c r="B44" s="139" t="str">
        <f>_xlfn.IFNA(IF(INDEX('Fakturaunderlag lokalnät'!$E$23:$E$65,MATCH($N44,'Fakturaunderlag lokalnät'!$AD$23:$AD$65,0))=0,"",INDEX('Fakturaunderlag lokalnät'!$E$23:$E$65,MATCH($N44,'Fakturaunderlag lokalnät'!$AD$23:$AD$65,0))),"")</f>
        <v/>
      </c>
      <c r="C44" s="135"/>
      <c r="D44" s="140" t="str">
        <f>_xlfn.IFNA(IF(INDEX('Fakturaunderlag lokalnät'!$O$23:$O$65,MATCH($N44,'Fakturaunderlag lokalnät'!$AD$23:$AD$65,0))=0,"",INDEX('Fakturaunderlag lokalnät'!$O$23:$O$65,MATCH($N44,'Fakturaunderlag lokalnät'!$AD$23:$AD$65,0))),"")</f>
        <v/>
      </c>
      <c r="E44" s="140" t="str">
        <f>_xlfn.IFNA(IF(INDEX('Fakturaunderlag lokalnät'!$T$23:$T$65,MATCH($N44,'Fakturaunderlag lokalnät'!$AD$23:$AD$65,0))=0,"",INDEX('Fakturaunderlag lokalnät'!$T$23:$T$65,MATCH($N44,'Fakturaunderlag lokalnät'!$AD$23:$AD$65,0))),"")</f>
        <v/>
      </c>
      <c r="F44" s="140" t="str">
        <f>_xlfn.IFNA(IF(INDEX('Fakturaunderlag lokalnät'!$P$23:$P$65,MATCH($N44,'Fakturaunderlag lokalnät'!$AD$23:$AD$65,0))=0,"",INDEX('Fakturaunderlag lokalnät'!$P$23:$P$65,MATCH($N44,'Fakturaunderlag lokalnät'!$AD$23:$AD$65,0))),"")</f>
        <v/>
      </c>
      <c r="G44" s="140" t="str">
        <f>_xlfn.IFNA(IF(INDEX('Fakturaunderlag lokalnät'!$Q$23:$Q$65,MATCH($N44,'Fakturaunderlag lokalnät'!$AD$23:$AD$65,0))=0,"",INDEX('Fakturaunderlag lokalnät'!$Q$23:$Q$65,MATCH($N44,'Fakturaunderlag lokalnät'!$AD$23:$AD$65,0))),"")</f>
        <v/>
      </c>
      <c r="H44" s="140" t="str">
        <f>_xlfn.IFNA(IF(INDEX('Fakturaunderlag lokalnät'!$R$23:$R$65,MATCH($N44,'Fakturaunderlag lokalnät'!$AD$23:$AD$65,0))=0,"",INDEX('Fakturaunderlag lokalnät'!$R$23:$R$65,MATCH($N44,'Fakturaunderlag lokalnät'!$AD$23:$AD$65,0))),"")</f>
        <v/>
      </c>
      <c r="I44" s="140" t="str">
        <f>_xlfn.IFNA(IF(INDEX('Fakturaunderlag lokalnät'!$S$23:$S$65,MATCH($N44,'Fakturaunderlag lokalnät'!$AD$23:$AD$65,0))=0,"",INDEX('Fakturaunderlag lokalnät'!$S$23:$S$65,MATCH($N44,'Fakturaunderlag lokalnät'!$AD$23:$AD$65,0))),"")</f>
        <v/>
      </c>
      <c r="J44" s="153" t="str">
        <f>_xlfn.IFNA(IF(INDEX('Fakturaunderlag lokalnät'!$L$23:$L$65,MATCH($N44,'Fakturaunderlag lokalnät'!$AD$23:$AD$65,0))=0,"",INDEX('Fakturaunderlag lokalnät'!$L$23:$L$65,MATCH($N44,'Fakturaunderlag lokalnät'!$AD$23:$AD$65,0))),"")</f>
        <v/>
      </c>
      <c r="K44" s="139" t="str">
        <f>IF(B44="","",IF('Fakturaunderlag lokalnät'!$J$14="","",'Fakturaunderlag lokalnät'!$J$14))</f>
        <v/>
      </c>
      <c r="L44" s="140" t="str">
        <f>_xlfn.IFNA(IF(INDEX('Fakturaunderlag lokalnät'!$I$23:$I$65,MATCH($N44,'Fakturaunderlag lokalnät'!$AD$23:$AD$65,0))=0,"",INDEX('Fakturaunderlag lokalnät'!$I$23:$I$65,MATCH($N44,'Fakturaunderlag lokalnät'!$AD$23:$AD$65,0))),"")</f>
        <v/>
      </c>
      <c r="N44" s="148">
        <v>33</v>
      </c>
    </row>
    <row r="45" spans="1:14">
      <c r="A45" s="139" t="str">
        <f>_xlfn.IFNA(LEFT(IF(INDEX('Fakturaunderlag lokalnät'!$C$23:$C$65,MATCH($N45,'Fakturaunderlag lokalnät'!$AD$23:$AD$65,0))=0,"",INDEX('Fakturaunderlag lokalnät'!$C$23:$C$65,MATCH($N45,'Fakturaunderlag lokalnät'!$AD$23:$AD$65,0))),3),"")</f>
        <v/>
      </c>
      <c r="B45" s="139" t="str">
        <f>_xlfn.IFNA(IF(INDEX('Fakturaunderlag lokalnät'!$E$23:$E$65,MATCH($N45,'Fakturaunderlag lokalnät'!$AD$23:$AD$65,0))=0,"",INDEX('Fakturaunderlag lokalnät'!$E$23:$E$65,MATCH($N45,'Fakturaunderlag lokalnät'!$AD$23:$AD$65,0))),"")</f>
        <v/>
      </c>
      <c r="C45" s="135"/>
      <c r="D45" s="140" t="str">
        <f>_xlfn.IFNA(IF(INDEX('Fakturaunderlag lokalnät'!$O$23:$O$65,MATCH($N45,'Fakturaunderlag lokalnät'!$AD$23:$AD$65,0))=0,"",INDEX('Fakturaunderlag lokalnät'!$O$23:$O$65,MATCH($N45,'Fakturaunderlag lokalnät'!$AD$23:$AD$65,0))),"")</f>
        <v/>
      </c>
      <c r="E45" s="140" t="str">
        <f>_xlfn.IFNA(IF(INDEX('Fakturaunderlag lokalnät'!$T$23:$T$65,MATCH($N45,'Fakturaunderlag lokalnät'!$AD$23:$AD$65,0))=0,"",INDEX('Fakturaunderlag lokalnät'!$T$23:$T$65,MATCH($N45,'Fakturaunderlag lokalnät'!$AD$23:$AD$65,0))),"")</f>
        <v/>
      </c>
      <c r="F45" s="140" t="str">
        <f>_xlfn.IFNA(IF(INDEX('Fakturaunderlag lokalnät'!$P$23:$P$65,MATCH($N45,'Fakturaunderlag lokalnät'!$AD$23:$AD$65,0))=0,"",INDEX('Fakturaunderlag lokalnät'!$P$23:$P$65,MATCH($N45,'Fakturaunderlag lokalnät'!$AD$23:$AD$65,0))),"")</f>
        <v/>
      </c>
      <c r="G45" s="140" t="str">
        <f>_xlfn.IFNA(IF(INDEX('Fakturaunderlag lokalnät'!$Q$23:$Q$65,MATCH($N45,'Fakturaunderlag lokalnät'!$AD$23:$AD$65,0))=0,"",INDEX('Fakturaunderlag lokalnät'!$Q$23:$Q$65,MATCH($N45,'Fakturaunderlag lokalnät'!$AD$23:$AD$65,0))),"")</f>
        <v/>
      </c>
      <c r="H45" s="140" t="str">
        <f>_xlfn.IFNA(IF(INDEX('Fakturaunderlag lokalnät'!$R$23:$R$65,MATCH($N45,'Fakturaunderlag lokalnät'!$AD$23:$AD$65,0))=0,"",INDEX('Fakturaunderlag lokalnät'!$R$23:$R$65,MATCH($N45,'Fakturaunderlag lokalnät'!$AD$23:$AD$65,0))),"")</f>
        <v/>
      </c>
      <c r="I45" s="140" t="str">
        <f>_xlfn.IFNA(IF(INDEX('Fakturaunderlag lokalnät'!$S$23:$S$65,MATCH($N45,'Fakturaunderlag lokalnät'!$AD$23:$AD$65,0))=0,"",INDEX('Fakturaunderlag lokalnät'!$S$23:$S$65,MATCH($N45,'Fakturaunderlag lokalnät'!$AD$23:$AD$65,0))),"")</f>
        <v/>
      </c>
      <c r="J45" s="153" t="str">
        <f>_xlfn.IFNA(IF(INDEX('Fakturaunderlag lokalnät'!$L$23:$L$65,MATCH($N45,'Fakturaunderlag lokalnät'!$AD$23:$AD$65,0))=0,"",INDEX('Fakturaunderlag lokalnät'!$L$23:$L$65,MATCH($N45,'Fakturaunderlag lokalnät'!$AD$23:$AD$65,0))),"")</f>
        <v/>
      </c>
      <c r="K45" s="139" t="str">
        <f>IF(B45="","",IF('Fakturaunderlag lokalnät'!$J$14="","",'Fakturaunderlag lokalnät'!$J$14))</f>
        <v/>
      </c>
      <c r="L45" s="140" t="str">
        <f>_xlfn.IFNA(IF(INDEX('Fakturaunderlag lokalnät'!$I$23:$I$65,MATCH($N45,'Fakturaunderlag lokalnät'!$AD$23:$AD$65,0))=0,"",INDEX('Fakturaunderlag lokalnät'!$I$23:$I$65,MATCH($N45,'Fakturaunderlag lokalnät'!$AD$23:$AD$65,0))),"")</f>
        <v/>
      </c>
      <c r="N45" s="148">
        <v>34</v>
      </c>
    </row>
    <row r="46" spans="1:14">
      <c r="A46" s="139" t="str">
        <f>_xlfn.IFNA(LEFT(IF(INDEX('Fakturaunderlag lokalnät'!$C$23:$C$65,MATCH($N46,'Fakturaunderlag lokalnät'!$AD$23:$AD$65,0))=0,"",INDEX('Fakturaunderlag lokalnät'!$C$23:$C$65,MATCH($N46,'Fakturaunderlag lokalnät'!$AD$23:$AD$65,0))),3),"")</f>
        <v/>
      </c>
      <c r="B46" s="139" t="str">
        <f>_xlfn.IFNA(IF(INDEX('Fakturaunderlag lokalnät'!$E$23:$E$65,MATCH($N46,'Fakturaunderlag lokalnät'!$AD$23:$AD$65,0))=0,"",INDEX('Fakturaunderlag lokalnät'!$E$23:$E$65,MATCH($N46,'Fakturaunderlag lokalnät'!$AD$23:$AD$65,0))),"")</f>
        <v/>
      </c>
      <c r="C46" s="135"/>
      <c r="D46" s="140" t="str">
        <f>_xlfn.IFNA(IF(INDEX('Fakturaunderlag lokalnät'!$O$23:$O$65,MATCH($N46,'Fakturaunderlag lokalnät'!$AD$23:$AD$65,0))=0,"",INDEX('Fakturaunderlag lokalnät'!$O$23:$O$65,MATCH($N46,'Fakturaunderlag lokalnät'!$AD$23:$AD$65,0))),"")</f>
        <v/>
      </c>
      <c r="E46" s="140" t="str">
        <f>_xlfn.IFNA(IF(INDEX('Fakturaunderlag lokalnät'!$T$23:$T$65,MATCH($N46,'Fakturaunderlag lokalnät'!$AD$23:$AD$65,0))=0,"",INDEX('Fakturaunderlag lokalnät'!$T$23:$T$65,MATCH($N46,'Fakturaunderlag lokalnät'!$AD$23:$AD$65,0))),"")</f>
        <v/>
      </c>
      <c r="F46" s="140" t="str">
        <f>_xlfn.IFNA(IF(INDEX('Fakturaunderlag lokalnät'!$P$23:$P$65,MATCH($N46,'Fakturaunderlag lokalnät'!$AD$23:$AD$65,0))=0,"",INDEX('Fakturaunderlag lokalnät'!$P$23:$P$65,MATCH($N46,'Fakturaunderlag lokalnät'!$AD$23:$AD$65,0))),"")</f>
        <v/>
      </c>
      <c r="G46" s="140" t="str">
        <f>_xlfn.IFNA(IF(INDEX('Fakturaunderlag lokalnät'!$Q$23:$Q$65,MATCH($N46,'Fakturaunderlag lokalnät'!$AD$23:$AD$65,0))=0,"",INDEX('Fakturaunderlag lokalnät'!$Q$23:$Q$65,MATCH($N46,'Fakturaunderlag lokalnät'!$AD$23:$AD$65,0))),"")</f>
        <v/>
      </c>
      <c r="H46" s="140" t="str">
        <f>_xlfn.IFNA(IF(INDEX('Fakturaunderlag lokalnät'!$R$23:$R$65,MATCH($N46,'Fakturaunderlag lokalnät'!$AD$23:$AD$65,0))=0,"",INDEX('Fakturaunderlag lokalnät'!$R$23:$R$65,MATCH($N46,'Fakturaunderlag lokalnät'!$AD$23:$AD$65,0))),"")</f>
        <v/>
      </c>
      <c r="I46" s="140" t="str">
        <f>_xlfn.IFNA(IF(INDEX('Fakturaunderlag lokalnät'!$S$23:$S$65,MATCH($N46,'Fakturaunderlag lokalnät'!$AD$23:$AD$65,0))=0,"",INDEX('Fakturaunderlag lokalnät'!$S$23:$S$65,MATCH($N46,'Fakturaunderlag lokalnät'!$AD$23:$AD$65,0))),"")</f>
        <v/>
      </c>
      <c r="J46" s="153" t="str">
        <f>_xlfn.IFNA(IF(INDEX('Fakturaunderlag lokalnät'!$L$23:$L$65,MATCH($N46,'Fakturaunderlag lokalnät'!$AD$23:$AD$65,0))=0,"",INDEX('Fakturaunderlag lokalnät'!$L$23:$L$65,MATCH($N46,'Fakturaunderlag lokalnät'!$AD$23:$AD$65,0))),"")</f>
        <v/>
      </c>
      <c r="K46" s="139" t="str">
        <f>IF(B46="","",IF('Fakturaunderlag lokalnät'!$J$14="","",'Fakturaunderlag lokalnät'!$J$14))</f>
        <v/>
      </c>
      <c r="L46" s="140" t="str">
        <f>_xlfn.IFNA(IF(INDEX('Fakturaunderlag lokalnät'!$I$23:$I$65,MATCH($N46,'Fakturaunderlag lokalnät'!$AD$23:$AD$65,0))=0,"",INDEX('Fakturaunderlag lokalnät'!$I$23:$I$65,MATCH($N46,'Fakturaunderlag lokalnät'!$AD$23:$AD$65,0))),"")</f>
        <v/>
      </c>
      <c r="N46" s="148">
        <v>35</v>
      </c>
    </row>
    <row r="47" spans="1:14">
      <c r="A47" s="139" t="str">
        <f>_xlfn.IFNA(LEFT(IF(INDEX('Fakturaunderlag lokalnät'!$C$23:$C$65,MATCH($N47,'Fakturaunderlag lokalnät'!$AD$23:$AD$65,0))=0,"",INDEX('Fakturaunderlag lokalnät'!$C$23:$C$65,MATCH($N47,'Fakturaunderlag lokalnät'!$AD$23:$AD$65,0))),3),"")</f>
        <v/>
      </c>
      <c r="B47" s="139" t="str">
        <f>_xlfn.IFNA(IF(INDEX('Fakturaunderlag lokalnät'!$E$23:$E$65,MATCH($N47,'Fakturaunderlag lokalnät'!$AD$23:$AD$65,0))=0,"",INDEX('Fakturaunderlag lokalnät'!$E$23:$E$65,MATCH($N47,'Fakturaunderlag lokalnät'!$AD$23:$AD$65,0))),"")</f>
        <v/>
      </c>
      <c r="C47" s="135"/>
      <c r="D47" s="140" t="str">
        <f>_xlfn.IFNA(IF(INDEX('Fakturaunderlag lokalnät'!$O$23:$O$65,MATCH($N47,'Fakturaunderlag lokalnät'!$AD$23:$AD$65,0))=0,"",INDEX('Fakturaunderlag lokalnät'!$O$23:$O$65,MATCH($N47,'Fakturaunderlag lokalnät'!$AD$23:$AD$65,0))),"")</f>
        <v/>
      </c>
      <c r="E47" s="140" t="str">
        <f>_xlfn.IFNA(IF(INDEX('Fakturaunderlag lokalnät'!$T$23:$T$65,MATCH($N47,'Fakturaunderlag lokalnät'!$AD$23:$AD$65,0))=0,"",INDEX('Fakturaunderlag lokalnät'!$T$23:$T$65,MATCH($N47,'Fakturaunderlag lokalnät'!$AD$23:$AD$65,0))),"")</f>
        <v/>
      </c>
      <c r="F47" s="140" t="str">
        <f>_xlfn.IFNA(IF(INDEX('Fakturaunderlag lokalnät'!$P$23:$P$65,MATCH($N47,'Fakturaunderlag lokalnät'!$AD$23:$AD$65,0))=0,"",INDEX('Fakturaunderlag lokalnät'!$P$23:$P$65,MATCH($N47,'Fakturaunderlag lokalnät'!$AD$23:$AD$65,0))),"")</f>
        <v/>
      </c>
      <c r="G47" s="140" t="str">
        <f>_xlfn.IFNA(IF(INDEX('Fakturaunderlag lokalnät'!$Q$23:$Q$65,MATCH($N47,'Fakturaunderlag lokalnät'!$AD$23:$AD$65,0))=0,"",INDEX('Fakturaunderlag lokalnät'!$Q$23:$Q$65,MATCH($N47,'Fakturaunderlag lokalnät'!$AD$23:$AD$65,0))),"")</f>
        <v/>
      </c>
      <c r="H47" s="140" t="str">
        <f>_xlfn.IFNA(IF(INDEX('Fakturaunderlag lokalnät'!$R$23:$R$65,MATCH($N47,'Fakturaunderlag lokalnät'!$AD$23:$AD$65,0))=0,"",INDEX('Fakturaunderlag lokalnät'!$R$23:$R$65,MATCH($N47,'Fakturaunderlag lokalnät'!$AD$23:$AD$65,0))),"")</f>
        <v/>
      </c>
      <c r="I47" s="140" t="str">
        <f>_xlfn.IFNA(IF(INDEX('Fakturaunderlag lokalnät'!$S$23:$S$65,MATCH($N47,'Fakturaunderlag lokalnät'!$AD$23:$AD$65,0))=0,"",INDEX('Fakturaunderlag lokalnät'!$S$23:$S$65,MATCH($N47,'Fakturaunderlag lokalnät'!$AD$23:$AD$65,0))),"")</f>
        <v/>
      </c>
      <c r="J47" s="153" t="str">
        <f>_xlfn.IFNA(IF(INDEX('Fakturaunderlag lokalnät'!$L$23:$L$65,MATCH($N47,'Fakturaunderlag lokalnät'!$AD$23:$AD$65,0))=0,"",INDEX('Fakturaunderlag lokalnät'!$L$23:$L$65,MATCH($N47,'Fakturaunderlag lokalnät'!$AD$23:$AD$65,0))),"")</f>
        <v/>
      </c>
      <c r="K47" s="139" t="str">
        <f>IF(B47="","",IF('Fakturaunderlag lokalnät'!$J$14="","",'Fakturaunderlag lokalnät'!$J$14))</f>
        <v/>
      </c>
      <c r="L47" s="140" t="str">
        <f>_xlfn.IFNA(IF(INDEX('Fakturaunderlag lokalnät'!$I$23:$I$65,MATCH($N47,'Fakturaunderlag lokalnät'!$AD$23:$AD$65,0))=0,"",INDEX('Fakturaunderlag lokalnät'!$I$23:$I$65,MATCH($N47,'Fakturaunderlag lokalnät'!$AD$23:$AD$65,0))),"")</f>
        <v/>
      </c>
      <c r="N47" s="148">
        <v>36</v>
      </c>
    </row>
    <row r="48" spans="1:14">
      <c r="A48" s="139" t="str">
        <f>_xlfn.IFNA(LEFT(IF(INDEX('Fakturaunderlag lokalnät'!$C$23:$C$65,MATCH($N48,'Fakturaunderlag lokalnät'!$AD$23:$AD$65,0))=0,"",INDEX('Fakturaunderlag lokalnät'!$C$23:$C$65,MATCH($N48,'Fakturaunderlag lokalnät'!$AD$23:$AD$65,0))),3),"")</f>
        <v/>
      </c>
      <c r="B48" s="139" t="str">
        <f>_xlfn.IFNA(IF(INDEX('Fakturaunderlag lokalnät'!$E$23:$E$65,MATCH($N48,'Fakturaunderlag lokalnät'!$AD$23:$AD$65,0))=0,"",INDEX('Fakturaunderlag lokalnät'!$E$23:$E$65,MATCH($N48,'Fakturaunderlag lokalnät'!$AD$23:$AD$65,0))),"")</f>
        <v/>
      </c>
      <c r="C48" s="135"/>
      <c r="D48" s="140" t="str">
        <f>_xlfn.IFNA(IF(INDEX('Fakturaunderlag lokalnät'!$O$23:$O$65,MATCH($N48,'Fakturaunderlag lokalnät'!$AD$23:$AD$65,0))=0,"",INDEX('Fakturaunderlag lokalnät'!$O$23:$O$65,MATCH($N48,'Fakturaunderlag lokalnät'!$AD$23:$AD$65,0))),"")</f>
        <v/>
      </c>
      <c r="E48" s="140" t="str">
        <f>_xlfn.IFNA(IF(INDEX('Fakturaunderlag lokalnät'!$T$23:$T$65,MATCH($N48,'Fakturaunderlag lokalnät'!$AD$23:$AD$65,0))=0,"",INDEX('Fakturaunderlag lokalnät'!$T$23:$T$65,MATCH($N48,'Fakturaunderlag lokalnät'!$AD$23:$AD$65,0))),"")</f>
        <v/>
      </c>
      <c r="F48" s="140" t="str">
        <f>_xlfn.IFNA(IF(INDEX('Fakturaunderlag lokalnät'!$P$23:$P$65,MATCH($N48,'Fakturaunderlag lokalnät'!$AD$23:$AD$65,0))=0,"",INDEX('Fakturaunderlag lokalnät'!$P$23:$P$65,MATCH($N48,'Fakturaunderlag lokalnät'!$AD$23:$AD$65,0))),"")</f>
        <v/>
      </c>
      <c r="G48" s="140" t="str">
        <f>_xlfn.IFNA(IF(INDEX('Fakturaunderlag lokalnät'!$Q$23:$Q$65,MATCH($N48,'Fakturaunderlag lokalnät'!$AD$23:$AD$65,0))=0,"",INDEX('Fakturaunderlag lokalnät'!$Q$23:$Q$65,MATCH($N48,'Fakturaunderlag lokalnät'!$AD$23:$AD$65,0))),"")</f>
        <v/>
      </c>
      <c r="H48" s="140" t="str">
        <f>_xlfn.IFNA(IF(INDEX('Fakturaunderlag lokalnät'!$R$23:$R$65,MATCH($N48,'Fakturaunderlag lokalnät'!$AD$23:$AD$65,0))=0,"",INDEX('Fakturaunderlag lokalnät'!$R$23:$R$65,MATCH($N48,'Fakturaunderlag lokalnät'!$AD$23:$AD$65,0))),"")</f>
        <v/>
      </c>
      <c r="I48" s="140" t="str">
        <f>_xlfn.IFNA(IF(INDEX('Fakturaunderlag lokalnät'!$S$23:$S$65,MATCH($N48,'Fakturaunderlag lokalnät'!$AD$23:$AD$65,0))=0,"",INDEX('Fakturaunderlag lokalnät'!$S$23:$S$65,MATCH($N48,'Fakturaunderlag lokalnät'!$AD$23:$AD$65,0))),"")</f>
        <v/>
      </c>
      <c r="J48" s="153" t="str">
        <f>_xlfn.IFNA(IF(INDEX('Fakturaunderlag lokalnät'!$L$23:$L$65,MATCH($N48,'Fakturaunderlag lokalnät'!$AD$23:$AD$65,0))=0,"",INDEX('Fakturaunderlag lokalnät'!$L$23:$L$65,MATCH($N48,'Fakturaunderlag lokalnät'!$AD$23:$AD$65,0))),"")</f>
        <v/>
      </c>
      <c r="K48" s="139" t="str">
        <f>IF(B48="","",IF('Fakturaunderlag lokalnät'!$J$14="","",'Fakturaunderlag lokalnät'!$J$14))</f>
        <v/>
      </c>
      <c r="L48" s="140" t="str">
        <f>_xlfn.IFNA(IF(INDEX('Fakturaunderlag lokalnät'!$I$23:$I$65,MATCH($N48,'Fakturaunderlag lokalnät'!$AD$23:$AD$65,0))=0,"",INDEX('Fakturaunderlag lokalnät'!$I$23:$I$65,MATCH($N48,'Fakturaunderlag lokalnät'!$AD$23:$AD$65,0))),"")</f>
        <v/>
      </c>
      <c r="N48" s="148">
        <v>37</v>
      </c>
    </row>
    <row r="49" spans="1:14">
      <c r="A49" s="139" t="str">
        <f>_xlfn.IFNA(LEFT(IF(INDEX('Fakturaunderlag lokalnät'!$C$23:$C$65,MATCH($N49,'Fakturaunderlag lokalnät'!$AD$23:$AD$65,0))=0,"",INDEX('Fakturaunderlag lokalnät'!$C$23:$C$65,MATCH($N49,'Fakturaunderlag lokalnät'!$AD$23:$AD$65,0))),3),"")</f>
        <v/>
      </c>
      <c r="B49" s="139" t="str">
        <f>_xlfn.IFNA(IF(INDEX('Fakturaunderlag lokalnät'!$E$23:$E$65,MATCH($N49,'Fakturaunderlag lokalnät'!$AD$23:$AD$65,0))=0,"",INDEX('Fakturaunderlag lokalnät'!$E$23:$E$65,MATCH($N49,'Fakturaunderlag lokalnät'!$AD$23:$AD$65,0))),"")</f>
        <v/>
      </c>
      <c r="C49" s="135"/>
      <c r="D49" s="140" t="str">
        <f>_xlfn.IFNA(IF(INDEX('Fakturaunderlag lokalnät'!$O$23:$O$65,MATCH($N49,'Fakturaunderlag lokalnät'!$AD$23:$AD$65,0))=0,"",INDEX('Fakturaunderlag lokalnät'!$O$23:$O$65,MATCH($N49,'Fakturaunderlag lokalnät'!$AD$23:$AD$65,0))),"")</f>
        <v/>
      </c>
      <c r="E49" s="140" t="str">
        <f>_xlfn.IFNA(IF(INDEX('Fakturaunderlag lokalnät'!$T$23:$T$65,MATCH($N49,'Fakturaunderlag lokalnät'!$AD$23:$AD$65,0))=0,"",INDEX('Fakturaunderlag lokalnät'!$T$23:$T$65,MATCH($N49,'Fakturaunderlag lokalnät'!$AD$23:$AD$65,0))),"")</f>
        <v/>
      </c>
      <c r="F49" s="140" t="str">
        <f>_xlfn.IFNA(IF(INDEX('Fakturaunderlag lokalnät'!$P$23:$P$65,MATCH($N49,'Fakturaunderlag lokalnät'!$AD$23:$AD$65,0))=0,"",INDEX('Fakturaunderlag lokalnät'!$P$23:$P$65,MATCH($N49,'Fakturaunderlag lokalnät'!$AD$23:$AD$65,0))),"")</f>
        <v/>
      </c>
      <c r="G49" s="140" t="str">
        <f>_xlfn.IFNA(IF(INDEX('Fakturaunderlag lokalnät'!$Q$23:$Q$65,MATCH($N49,'Fakturaunderlag lokalnät'!$AD$23:$AD$65,0))=0,"",INDEX('Fakturaunderlag lokalnät'!$Q$23:$Q$65,MATCH($N49,'Fakturaunderlag lokalnät'!$AD$23:$AD$65,0))),"")</f>
        <v/>
      </c>
      <c r="H49" s="140" t="str">
        <f>_xlfn.IFNA(IF(INDEX('Fakturaunderlag lokalnät'!$R$23:$R$65,MATCH($N49,'Fakturaunderlag lokalnät'!$AD$23:$AD$65,0))=0,"",INDEX('Fakturaunderlag lokalnät'!$R$23:$R$65,MATCH($N49,'Fakturaunderlag lokalnät'!$AD$23:$AD$65,0))),"")</f>
        <v/>
      </c>
      <c r="I49" s="140" t="str">
        <f>_xlfn.IFNA(IF(INDEX('Fakturaunderlag lokalnät'!$S$23:$S$65,MATCH($N49,'Fakturaunderlag lokalnät'!$AD$23:$AD$65,0))=0,"",INDEX('Fakturaunderlag lokalnät'!$S$23:$S$65,MATCH($N49,'Fakturaunderlag lokalnät'!$AD$23:$AD$65,0))),"")</f>
        <v/>
      </c>
      <c r="J49" s="153" t="str">
        <f>_xlfn.IFNA(IF(INDEX('Fakturaunderlag lokalnät'!$L$23:$L$65,MATCH($N49,'Fakturaunderlag lokalnät'!$AD$23:$AD$65,0))=0,"",INDEX('Fakturaunderlag lokalnät'!$L$23:$L$65,MATCH($N49,'Fakturaunderlag lokalnät'!$AD$23:$AD$65,0))),"")</f>
        <v/>
      </c>
      <c r="K49" s="139" t="str">
        <f>IF(B49="","",IF('Fakturaunderlag lokalnät'!$J$14="","",'Fakturaunderlag lokalnät'!$J$14))</f>
        <v/>
      </c>
      <c r="L49" s="140" t="str">
        <f>_xlfn.IFNA(IF(INDEX('Fakturaunderlag lokalnät'!$I$23:$I$65,MATCH($N49,'Fakturaunderlag lokalnät'!$AD$23:$AD$65,0))=0,"",INDEX('Fakturaunderlag lokalnät'!$I$23:$I$65,MATCH($N49,'Fakturaunderlag lokalnät'!$AD$23:$AD$65,0))),"")</f>
        <v/>
      </c>
      <c r="N49" s="148">
        <v>38</v>
      </c>
    </row>
    <row r="50" spans="1:14">
      <c r="A50" s="139" t="str">
        <f>_xlfn.IFNA(LEFT(IF(INDEX('Fakturaunderlag lokalnät'!$C$23:$C$65,MATCH($N50,'Fakturaunderlag lokalnät'!$AD$23:$AD$65,0))=0,"",INDEX('Fakturaunderlag lokalnät'!$C$23:$C$65,MATCH($N50,'Fakturaunderlag lokalnät'!$AD$23:$AD$65,0))),3),"")</f>
        <v/>
      </c>
      <c r="B50" s="139" t="str">
        <f>_xlfn.IFNA(IF(INDEX('Fakturaunderlag lokalnät'!$E$23:$E$65,MATCH($N50,'Fakturaunderlag lokalnät'!$AD$23:$AD$65,0))=0,"",INDEX('Fakturaunderlag lokalnät'!$E$23:$E$65,MATCH($N50,'Fakturaunderlag lokalnät'!$AD$23:$AD$65,0))),"")</f>
        <v/>
      </c>
      <c r="C50" s="135"/>
      <c r="D50" s="140" t="str">
        <f>_xlfn.IFNA(IF(INDEX('Fakturaunderlag lokalnät'!$O$23:$O$65,MATCH($N50,'Fakturaunderlag lokalnät'!$AD$23:$AD$65,0))=0,"",INDEX('Fakturaunderlag lokalnät'!$O$23:$O$65,MATCH($N50,'Fakturaunderlag lokalnät'!$AD$23:$AD$65,0))),"")</f>
        <v/>
      </c>
      <c r="E50" s="140" t="str">
        <f>_xlfn.IFNA(IF(INDEX('Fakturaunderlag lokalnät'!$T$23:$T$65,MATCH($N50,'Fakturaunderlag lokalnät'!$AD$23:$AD$65,0))=0,"",INDEX('Fakturaunderlag lokalnät'!$T$23:$T$65,MATCH($N50,'Fakturaunderlag lokalnät'!$AD$23:$AD$65,0))),"")</f>
        <v/>
      </c>
      <c r="F50" s="140" t="str">
        <f>_xlfn.IFNA(IF(INDEX('Fakturaunderlag lokalnät'!$P$23:$P$65,MATCH($N50,'Fakturaunderlag lokalnät'!$AD$23:$AD$65,0))=0,"",INDEX('Fakturaunderlag lokalnät'!$P$23:$P$65,MATCH($N50,'Fakturaunderlag lokalnät'!$AD$23:$AD$65,0))),"")</f>
        <v/>
      </c>
      <c r="G50" s="140" t="str">
        <f>_xlfn.IFNA(IF(INDEX('Fakturaunderlag lokalnät'!$Q$23:$Q$65,MATCH($N50,'Fakturaunderlag lokalnät'!$AD$23:$AD$65,0))=0,"",INDEX('Fakturaunderlag lokalnät'!$Q$23:$Q$65,MATCH($N50,'Fakturaunderlag lokalnät'!$AD$23:$AD$65,0))),"")</f>
        <v/>
      </c>
      <c r="H50" s="140" t="str">
        <f>_xlfn.IFNA(IF(INDEX('Fakturaunderlag lokalnät'!$R$23:$R$65,MATCH($N50,'Fakturaunderlag lokalnät'!$AD$23:$AD$65,0))=0,"",INDEX('Fakturaunderlag lokalnät'!$R$23:$R$65,MATCH($N50,'Fakturaunderlag lokalnät'!$AD$23:$AD$65,0))),"")</f>
        <v/>
      </c>
      <c r="I50" s="140" t="str">
        <f>_xlfn.IFNA(IF(INDEX('Fakturaunderlag lokalnät'!$S$23:$S$65,MATCH($N50,'Fakturaunderlag lokalnät'!$AD$23:$AD$65,0))=0,"",INDEX('Fakturaunderlag lokalnät'!$S$23:$S$65,MATCH($N50,'Fakturaunderlag lokalnät'!$AD$23:$AD$65,0))),"")</f>
        <v/>
      </c>
      <c r="J50" s="153" t="str">
        <f>_xlfn.IFNA(IF(INDEX('Fakturaunderlag lokalnät'!$L$23:$L$65,MATCH($N50,'Fakturaunderlag lokalnät'!$AD$23:$AD$65,0))=0,"",INDEX('Fakturaunderlag lokalnät'!$L$23:$L$65,MATCH($N50,'Fakturaunderlag lokalnät'!$AD$23:$AD$65,0))),"")</f>
        <v/>
      </c>
      <c r="K50" s="139" t="str">
        <f>IF(B50="","",IF('Fakturaunderlag lokalnät'!$J$14="","",'Fakturaunderlag lokalnät'!$J$14))</f>
        <v/>
      </c>
      <c r="L50" s="140" t="str">
        <f>_xlfn.IFNA(IF(INDEX('Fakturaunderlag lokalnät'!$I$23:$I$65,MATCH($N50,'Fakturaunderlag lokalnät'!$AD$23:$AD$65,0))=0,"",INDEX('Fakturaunderlag lokalnät'!$I$23:$I$65,MATCH($N50,'Fakturaunderlag lokalnät'!$AD$23:$AD$65,0))),"")</f>
        <v/>
      </c>
      <c r="N50" s="148">
        <v>39</v>
      </c>
    </row>
    <row r="51" spans="1:14">
      <c r="A51" s="139" t="str">
        <f>_xlfn.IFNA(LEFT(IF(INDEX('Fakturaunderlag lokalnät'!$C$23:$C$65,MATCH($N51,'Fakturaunderlag lokalnät'!$AD$23:$AD$65,0))=0,"",INDEX('Fakturaunderlag lokalnät'!$C$23:$C$65,MATCH($N51,'Fakturaunderlag lokalnät'!$AD$23:$AD$65,0))),3),"")</f>
        <v/>
      </c>
      <c r="B51" s="139" t="str">
        <f>_xlfn.IFNA(IF(INDEX('Fakturaunderlag lokalnät'!$E$23:$E$65,MATCH($N51,'Fakturaunderlag lokalnät'!$AD$23:$AD$65,0))=0,"",INDEX('Fakturaunderlag lokalnät'!$E$23:$E$65,MATCH($N51,'Fakturaunderlag lokalnät'!$AD$23:$AD$65,0))),"")</f>
        <v/>
      </c>
      <c r="C51" s="135"/>
      <c r="D51" s="140" t="str">
        <f>_xlfn.IFNA(IF(INDEX('Fakturaunderlag lokalnät'!$O$23:$O$65,MATCH($N51,'Fakturaunderlag lokalnät'!$AD$23:$AD$65,0))=0,"",INDEX('Fakturaunderlag lokalnät'!$O$23:$O$65,MATCH($N51,'Fakturaunderlag lokalnät'!$AD$23:$AD$65,0))),"")</f>
        <v/>
      </c>
      <c r="E51" s="140" t="str">
        <f>_xlfn.IFNA(IF(INDEX('Fakturaunderlag lokalnät'!$T$23:$T$65,MATCH($N51,'Fakturaunderlag lokalnät'!$AD$23:$AD$65,0))=0,"",INDEX('Fakturaunderlag lokalnät'!$T$23:$T$65,MATCH($N51,'Fakturaunderlag lokalnät'!$AD$23:$AD$65,0))),"")</f>
        <v/>
      </c>
      <c r="F51" s="140" t="str">
        <f>_xlfn.IFNA(IF(INDEX('Fakturaunderlag lokalnät'!$P$23:$P$65,MATCH($N51,'Fakturaunderlag lokalnät'!$AD$23:$AD$65,0))=0,"",INDEX('Fakturaunderlag lokalnät'!$P$23:$P$65,MATCH($N51,'Fakturaunderlag lokalnät'!$AD$23:$AD$65,0))),"")</f>
        <v/>
      </c>
      <c r="G51" s="140" t="str">
        <f>_xlfn.IFNA(IF(INDEX('Fakturaunderlag lokalnät'!$Q$23:$Q$65,MATCH($N51,'Fakturaunderlag lokalnät'!$AD$23:$AD$65,0))=0,"",INDEX('Fakturaunderlag lokalnät'!$Q$23:$Q$65,MATCH($N51,'Fakturaunderlag lokalnät'!$AD$23:$AD$65,0))),"")</f>
        <v/>
      </c>
      <c r="H51" s="140" t="str">
        <f>_xlfn.IFNA(IF(INDEX('Fakturaunderlag lokalnät'!$R$23:$R$65,MATCH($N51,'Fakturaunderlag lokalnät'!$AD$23:$AD$65,0))=0,"",INDEX('Fakturaunderlag lokalnät'!$R$23:$R$65,MATCH($N51,'Fakturaunderlag lokalnät'!$AD$23:$AD$65,0))),"")</f>
        <v/>
      </c>
      <c r="I51" s="140" t="str">
        <f>_xlfn.IFNA(IF(INDEX('Fakturaunderlag lokalnät'!$S$23:$S$65,MATCH($N51,'Fakturaunderlag lokalnät'!$AD$23:$AD$65,0))=0,"",INDEX('Fakturaunderlag lokalnät'!$S$23:$S$65,MATCH($N51,'Fakturaunderlag lokalnät'!$AD$23:$AD$65,0))),"")</f>
        <v/>
      </c>
      <c r="J51" s="153" t="str">
        <f>_xlfn.IFNA(IF(INDEX('Fakturaunderlag lokalnät'!$L$23:$L$65,MATCH($N51,'Fakturaunderlag lokalnät'!$AD$23:$AD$65,0))=0,"",INDEX('Fakturaunderlag lokalnät'!$L$23:$L$65,MATCH($N51,'Fakturaunderlag lokalnät'!$AD$23:$AD$65,0))),"")</f>
        <v/>
      </c>
      <c r="K51" s="139" t="str">
        <f>IF(B51="","",IF('Fakturaunderlag lokalnät'!$J$14="","",'Fakturaunderlag lokalnät'!$J$14))</f>
        <v/>
      </c>
      <c r="L51" s="140" t="str">
        <f>_xlfn.IFNA(IF(INDEX('Fakturaunderlag lokalnät'!$I$23:$I$65,MATCH($N51,'Fakturaunderlag lokalnät'!$AD$23:$AD$65,0))=0,"",INDEX('Fakturaunderlag lokalnät'!$I$23:$I$65,MATCH($N51,'Fakturaunderlag lokalnät'!$AD$23:$AD$65,0))),"")</f>
        <v/>
      </c>
      <c r="N51" s="148">
        <v>40</v>
      </c>
    </row>
    <row r="52" spans="1:14">
      <c r="A52" s="139" t="str">
        <f>_xlfn.IFNA(LEFT(IF(INDEX('Fakturaunderlag lokalnät'!$C$23:$C$65,MATCH($N52,'Fakturaunderlag lokalnät'!$AD$23:$AD$65,0))=0,"",INDEX('Fakturaunderlag lokalnät'!$C$23:$C$65,MATCH($N52,'Fakturaunderlag lokalnät'!$AD$23:$AD$65,0))),3),"")</f>
        <v/>
      </c>
      <c r="B52" s="139" t="str">
        <f>_xlfn.IFNA(IF(INDEX('Fakturaunderlag lokalnät'!$E$23:$E$65,MATCH($N52,'Fakturaunderlag lokalnät'!$AD$23:$AD$65,0))=0,"",INDEX('Fakturaunderlag lokalnät'!$E$23:$E$65,MATCH($N52,'Fakturaunderlag lokalnät'!$AD$23:$AD$65,0))),"")</f>
        <v/>
      </c>
      <c r="C52" s="135"/>
      <c r="D52" s="140" t="str">
        <f>_xlfn.IFNA(IF(INDEX('Fakturaunderlag lokalnät'!$O$23:$O$65,MATCH($N52,'Fakturaunderlag lokalnät'!$AD$23:$AD$65,0))=0,"",INDEX('Fakturaunderlag lokalnät'!$O$23:$O$65,MATCH($N52,'Fakturaunderlag lokalnät'!$AD$23:$AD$65,0))),"")</f>
        <v/>
      </c>
      <c r="E52" s="140" t="str">
        <f>_xlfn.IFNA(IF(INDEX('Fakturaunderlag lokalnät'!$T$23:$T$65,MATCH($N52,'Fakturaunderlag lokalnät'!$AD$23:$AD$65,0))=0,"",INDEX('Fakturaunderlag lokalnät'!$T$23:$T$65,MATCH($N52,'Fakturaunderlag lokalnät'!$AD$23:$AD$65,0))),"")</f>
        <v/>
      </c>
      <c r="F52" s="140" t="str">
        <f>_xlfn.IFNA(IF(INDEX('Fakturaunderlag lokalnät'!$P$23:$P$65,MATCH($N52,'Fakturaunderlag lokalnät'!$AD$23:$AD$65,0))=0,"",INDEX('Fakturaunderlag lokalnät'!$P$23:$P$65,MATCH($N52,'Fakturaunderlag lokalnät'!$AD$23:$AD$65,0))),"")</f>
        <v/>
      </c>
      <c r="G52" s="140" t="str">
        <f>_xlfn.IFNA(IF(INDEX('Fakturaunderlag lokalnät'!$Q$23:$Q$65,MATCH($N52,'Fakturaunderlag lokalnät'!$AD$23:$AD$65,0))=0,"",INDEX('Fakturaunderlag lokalnät'!$Q$23:$Q$65,MATCH($N52,'Fakturaunderlag lokalnät'!$AD$23:$AD$65,0))),"")</f>
        <v/>
      </c>
      <c r="H52" s="140" t="str">
        <f>_xlfn.IFNA(IF(INDEX('Fakturaunderlag lokalnät'!$R$23:$R$65,MATCH($N52,'Fakturaunderlag lokalnät'!$AD$23:$AD$65,0))=0,"",INDEX('Fakturaunderlag lokalnät'!$R$23:$R$65,MATCH($N52,'Fakturaunderlag lokalnät'!$AD$23:$AD$65,0))),"")</f>
        <v/>
      </c>
      <c r="I52" s="140" t="str">
        <f>_xlfn.IFNA(IF(INDEX('Fakturaunderlag lokalnät'!$S$23:$S$65,MATCH($N52,'Fakturaunderlag lokalnät'!$AD$23:$AD$65,0))=0,"",INDEX('Fakturaunderlag lokalnät'!$S$23:$S$65,MATCH($N52,'Fakturaunderlag lokalnät'!$AD$23:$AD$65,0))),"")</f>
        <v/>
      </c>
      <c r="J52" s="153" t="str">
        <f>_xlfn.IFNA(IF(INDEX('Fakturaunderlag lokalnät'!$L$23:$L$65,MATCH($N52,'Fakturaunderlag lokalnät'!$AD$23:$AD$65,0))=0,"",INDEX('Fakturaunderlag lokalnät'!$L$23:$L$65,MATCH($N52,'Fakturaunderlag lokalnät'!$AD$23:$AD$65,0))),"")</f>
        <v/>
      </c>
      <c r="K52" s="139" t="str">
        <f>IF(B52="","",IF('Fakturaunderlag lokalnät'!$J$14="","",'Fakturaunderlag lokalnät'!$J$14))</f>
        <v/>
      </c>
      <c r="L52" s="140" t="str">
        <f>_xlfn.IFNA(IF(INDEX('Fakturaunderlag lokalnät'!$I$23:$I$65,MATCH($N52,'Fakturaunderlag lokalnät'!$AD$23:$AD$65,0))=0,"",INDEX('Fakturaunderlag lokalnät'!$I$23:$I$65,MATCH($N52,'Fakturaunderlag lokalnät'!$AD$23:$AD$65,0))),"")</f>
        <v/>
      </c>
      <c r="N52" s="148">
        <v>41</v>
      </c>
    </row>
    <row r="53" spans="1:14">
      <c r="A53" s="139" t="str">
        <f>_xlfn.IFNA(LEFT(IF(INDEX('Fakturaunderlag lokalnät'!$C$23:$C$65,MATCH($N53,'Fakturaunderlag lokalnät'!$AD$23:$AD$65,0))=0,"",INDEX('Fakturaunderlag lokalnät'!$C$23:$C$65,MATCH($N53,'Fakturaunderlag lokalnät'!$AD$23:$AD$65,0))),3),"")</f>
        <v/>
      </c>
      <c r="B53" s="139" t="str">
        <f>_xlfn.IFNA(IF(INDEX('Fakturaunderlag lokalnät'!$E$23:$E$65,MATCH($N53,'Fakturaunderlag lokalnät'!$AD$23:$AD$65,0))=0,"",INDEX('Fakturaunderlag lokalnät'!$E$23:$E$65,MATCH($N53,'Fakturaunderlag lokalnät'!$AD$23:$AD$65,0))),"")</f>
        <v/>
      </c>
      <c r="C53" s="135"/>
      <c r="D53" s="140" t="str">
        <f>_xlfn.IFNA(IF(INDEX('Fakturaunderlag lokalnät'!$O$23:$O$65,MATCH($N53,'Fakturaunderlag lokalnät'!$AD$23:$AD$65,0))=0,"",INDEX('Fakturaunderlag lokalnät'!$O$23:$O$65,MATCH($N53,'Fakturaunderlag lokalnät'!$AD$23:$AD$65,0))),"")</f>
        <v/>
      </c>
      <c r="E53" s="140" t="str">
        <f>_xlfn.IFNA(IF(INDEX('Fakturaunderlag lokalnät'!$T$23:$T$65,MATCH($N53,'Fakturaunderlag lokalnät'!$AD$23:$AD$65,0))=0,"",INDEX('Fakturaunderlag lokalnät'!$T$23:$T$65,MATCH($N53,'Fakturaunderlag lokalnät'!$AD$23:$AD$65,0))),"")</f>
        <v/>
      </c>
      <c r="F53" s="140" t="str">
        <f>_xlfn.IFNA(IF(INDEX('Fakturaunderlag lokalnät'!$P$23:$P$65,MATCH($N53,'Fakturaunderlag lokalnät'!$AD$23:$AD$65,0))=0,"",INDEX('Fakturaunderlag lokalnät'!$P$23:$P$65,MATCH($N53,'Fakturaunderlag lokalnät'!$AD$23:$AD$65,0))),"")</f>
        <v/>
      </c>
      <c r="G53" s="140" t="str">
        <f>_xlfn.IFNA(IF(INDEX('Fakturaunderlag lokalnät'!$Q$23:$Q$65,MATCH($N53,'Fakturaunderlag lokalnät'!$AD$23:$AD$65,0))=0,"",INDEX('Fakturaunderlag lokalnät'!$Q$23:$Q$65,MATCH($N53,'Fakturaunderlag lokalnät'!$AD$23:$AD$65,0))),"")</f>
        <v/>
      </c>
      <c r="H53" s="140" t="str">
        <f>_xlfn.IFNA(IF(INDEX('Fakturaunderlag lokalnät'!$R$23:$R$65,MATCH($N53,'Fakturaunderlag lokalnät'!$AD$23:$AD$65,0))=0,"",INDEX('Fakturaunderlag lokalnät'!$R$23:$R$65,MATCH($N53,'Fakturaunderlag lokalnät'!$AD$23:$AD$65,0))),"")</f>
        <v/>
      </c>
      <c r="I53" s="140" t="str">
        <f>_xlfn.IFNA(IF(INDEX('Fakturaunderlag lokalnät'!$S$23:$S$65,MATCH($N53,'Fakturaunderlag lokalnät'!$AD$23:$AD$65,0))=0,"",INDEX('Fakturaunderlag lokalnät'!$S$23:$S$65,MATCH($N53,'Fakturaunderlag lokalnät'!$AD$23:$AD$65,0))),"")</f>
        <v/>
      </c>
      <c r="J53" s="153" t="str">
        <f>_xlfn.IFNA(IF(INDEX('Fakturaunderlag lokalnät'!$L$23:$L$65,MATCH($N53,'Fakturaunderlag lokalnät'!$AD$23:$AD$65,0))=0,"",INDEX('Fakturaunderlag lokalnät'!$L$23:$L$65,MATCH($N53,'Fakturaunderlag lokalnät'!$AD$23:$AD$65,0))),"")</f>
        <v/>
      </c>
      <c r="K53" s="139" t="str">
        <f>IF(B53="","",IF('Fakturaunderlag lokalnät'!$J$14="","",'Fakturaunderlag lokalnät'!$J$14))</f>
        <v/>
      </c>
      <c r="L53" s="140" t="str">
        <f>_xlfn.IFNA(IF(INDEX('Fakturaunderlag lokalnät'!$I$23:$I$65,MATCH($N53,'Fakturaunderlag lokalnät'!$AD$23:$AD$65,0))=0,"",INDEX('Fakturaunderlag lokalnät'!$I$23:$I$65,MATCH($N53,'Fakturaunderlag lokalnät'!$AD$23:$AD$65,0))),"")</f>
        <v/>
      </c>
      <c r="N53" s="148">
        <v>42</v>
      </c>
    </row>
    <row r="54" spans="1:14">
      <c r="A54" s="139" t="str">
        <f>_xlfn.IFNA(LEFT(IF(INDEX('Fakturaunderlag lokalnät'!$C$23:$C$65,MATCH($N54,'Fakturaunderlag lokalnät'!$AD$23:$AD$65,0))=0,"",INDEX('Fakturaunderlag lokalnät'!$C$23:$C$65,MATCH($N54,'Fakturaunderlag lokalnät'!$AD$23:$AD$65,0))),3),"")</f>
        <v/>
      </c>
      <c r="B54" s="139" t="str">
        <f>_xlfn.IFNA(IF(INDEX('Fakturaunderlag lokalnät'!$E$23:$E$65,MATCH($N54,'Fakturaunderlag lokalnät'!$AD$23:$AD$65,0))=0,"",INDEX('Fakturaunderlag lokalnät'!$E$23:$E$65,MATCH($N54,'Fakturaunderlag lokalnät'!$AD$23:$AD$65,0))),"")</f>
        <v/>
      </c>
      <c r="C54" s="135"/>
      <c r="D54" s="140" t="str">
        <f>_xlfn.IFNA(IF(INDEX('Fakturaunderlag lokalnät'!$O$23:$O$65,MATCH($N54,'Fakturaunderlag lokalnät'!$AD$23:$AD$65,0))=0,"",INDEX('Fakturaunderlag lokalnät'!$O$23:$O$65,MATCH($N54,'Fakturaunderlag lokalnät'!$AD$23:$AD$65,0))),"")</f>
        <v/>
      </c>
      <c r="E54" s="140" t="str">
        <f>_xlfn.IFNA(IF(INDEX('Fakturaunderlag lokalnät'!$T$23:$T$65,MATCH($N54,'Fakturaunderlag lokalnät'!$AD$23:$AD$65,0))=0,"",INDEX('Fakturaunderlag lokalnät'!$T$23:$T$65,MATCH($N54,'Fakturaunderlag lokalnät'!$AD$23:$AD$65,0))),"")</f>
        <v/>
      </c>
      <c r="F54" s="140" t="str">
        <f>_xlfn.IFNA(IF(INDEX('Fakturaunderlag lokalnät'!$P$23:$P$65,MATCH($N54,'Fakturaunderlag lokalnät'!$AD$23:$AD$65,0))=0,"",INDEX('Fakturaunderlag lokalnät'!$P$23:$P$65,MATCH($N54,'Fakturaunderlag lokalnät'!$AD$23:$AD$65,0))),"")</f>
        <v/>
      </c>
      <c r="G54" s="140" t="str">
        <f>_xlfn.IFNA(IF(INDEX('Fakturaunderlag lokalnät'!$Q$23:$Q$65,MATCH($N54,'Fakturaunderlag lokalnät'!$AD$23:$AD$65,0))=0,"",INDEX('Fakturaunderlag lokalnät'!$Q$23:$Q$65,MATCH($N54,'Fakturaunderlag lokalnät'!$AD$23:$AD$65,0))),"")</f>
        <v/>
      </c>
      <c r="H54" s="140" t="str">
        <f>_xlfn.IFNA(IF(INDEX('Fakturaunderlag lokalnät'!$R$23:$R$65,MATCH($N54,'Fakturaunderlag lokalnät'!$AD$23:$AD$65,0))=0,"",INDEX('Fakturaunderlag lokalnät'!$R$23:$R$65,MATCH($N54,'Fakturaunderlag lokalnät'!$AD$23:$AD$65,0))),"")</f>
        <v/>
      </c>
      <c r="I54" s="140" t="str">
        <f>_xlfn.IFNA(IF(INDEX('Fakturaunderlag lokalnät'!$S$23:$S$65,MATCH($N54,'Fakturaunderlag lokalnät'!$AD$23:$AD$65,0))=0,"",INDEX('Fakturaunderlag lokalnät'!$S$23:$S$65,MATCH($N54,'Fakturaunderlag lokalnät'!$AD$23:$AD$65,0))),"")</f>
        <v/>
      </c>
      <c r="J54" s="153" t="str">
        <f>_xlfn.IFNA(IF(INDEX('Fakturaunderlag lokalnät'!$L$23:$L$65,MATCH($N54,'Fakturaunderlag lokalnät'!$AD$23:$AD$65,0))=0,"",INDEX('Fakturaunderlag lokalnät'!$L$23:$L$65,MATCH($N54,'Fakturaunderlag lokalnät'!$AD$23:$AD$65,0))),"")</f>
        <v/>
      </c>
      <c r="K54" s="139" t="str">
        <f>IF(B54="","",IF('Fakturaunderlag lokalnät'!$J$14="","",'Fakturaunderlag lokalnät'!$J$14))</f>
        <v/>
      </c>
      <c r="L54" s="140" t="str">
        <f>_xlfn.IFNA(IF(INDEX('Fakturaunderlag lokalnät'!$I$23:$I$65,MATCH($N54,'Fakturaunderlag lokalnät'!$AD$23:$AD$65,0))=0,"",INDEX('Fakturaunderlag lokalnät'!$I$23:$I$65,MATCH($N54,'Fakturaunderlag lokalnät'!$AD$23:$AD$65,0))),"")</f>
        <v/>
      </c>
      <c r="N54" s="148">
        <v>43</v>
      </c>
    </row>
    <row r="55" spans="1:14">
      <c r="A55" s="139" t="str">
        <f>_xlfn.IFNA(LEFT(IF(INDEX('Fakturaunderlag lokalnät'!$C$23:$C$65,MATCH($N55,'Fakturaunderlag lokalnät'!$AD$23:$AD$65,0))=0,"",INDEX('Fakturaunderlag lokalnät'!$C$23:$C$65,MATCH($N55,'Fakturaunderlag lokalnät'!$AD$23:$AD$65,0))),3),"")</f>
        <v/>
      </c>
      <c r="B55" s="139" t="str">
        <f>_xlfn.IFNA(IF(INDEX('Fakturaunderlag lokalnät'!$E$23:$E$65,MATCH($N55,'Fakturaunderlag lokalnät'!$AD$23:$AD$65,0))=0,"",INDEX('Fakturaunderlag lokalnät'!$E$23:$E$65,MATCH($N55,'Fakturaunderlag lokalnät'!$AD$23:$AD$65,0))),"")</f>
        <v/>
      </c>
      <c r="C55" s="135"/>
      <c r="D55" s="140" t="str">
        <f>_xlfn.IFNA(IF(INDEX('Fakturaunderlag lokalnät'!$O$23:$O$65,MATCH($N55,'Fakturaunderlag lokalnät'!$AD$23:$AD$65,0))=0,"",INDEX('Fakturaunderlag lokalnät'!$O$23:$O$65,MATCH($N55,'Fakturaunderlag lokalnät'!$AD$23:$AD$65,0))),"")</f>
        <v/>
      </c>
      <c r="E55" s="140" t="str">
        <f>_xlfn.IFNA(IF(INDEX('Fakturaunderlag lokalnät'!$T$23:$T$65,MATCH($N55,'Fakturaunderlag lokalnät'!$AD$23:$AD$65,0))=0,"",INDEX('Fakturaunderlag lokalnät'!$T$23:$T$65,MATCH($N55,'Fakturaunderlag lokalnät'!$AD$23:$AD$65,0))),"")</f>
        <v/>
      </c>
      <c r="F55" s="140" t="str">
        <f>_xlfn.IFNA(IF(INDEX('Fakturaunderlag lokalnät'!$P$23:$P$65,MATCH($N55,'Fakturaunderlag lokalnät'!$AD$23:$AD$65,0))=0,"",INDEX('Fakturaunderlag lokalnät'!$P$23:$P$65,MATCH($N55,'Fakturaunderlag lokalnät'!$AD$23:$AD$65,0))),"")</f>
        <v/>
      </c>
      <c r="G55" s="140" t="str">
        <f>_xlfn.IFNA(IF(INDEX('Fakturaunderlag lokalnät'!$Q$23:$Q$65,MATCH($N55,'Fakturaunderlag lokalnät'!$AD$23:$AD$65,0))=0,"",INDEX('Fakturaunderlag lokalnät'!$Q$23:$Q$65,MATCH($N55,'Fakturaunderlag lokalnät'!$AD$23:$AD$65,0))),"")</f>
        <v/>
      </c>
      <c r="H55" s="140" t="str">
        <f>_xlfn.IFNA(IF(INDEX('Fakturaunderlag lokalnät'!$R$23:$R$65,MATCH($N55,'Fakturaunderlag lokalnät'!$AD$23:$AD$65,0))=0,"",INDEX('Fakturaunderlag lokalnät'!$R$23:$R$65,MATCH($N55,'Fakturaunderlag lokalnät'!$AD$23:$AD$65,0))),"")</f>
        <v/>
      </c>
      <c r="I55" s="140" t="str">
        <f>_xlfn.IFNA(IF(INDEX('Fakturaunderlag lokalnät'!$S$23:$S$65,MATCH($N55,'Fakturaunderlag lokalnät'!$AD$23:$AD$65,0))=0,"",INDEX('Fakturaunderlag lokalnät'!$S$23:$S$65,MATCH($N55,'Fakturaunderlag lokalnät'!$AD$23:$AD$65,0))),"")</f>
        <v/>
      </c>
      <c r="J55" s="153" t="str">
        <f>_xlfn.IFNA(IF(INDEX('Fakturaunderlag lokalnät'!$L$23:$L$65,MATCH($N55,'Fakturaunderlag lokalnät'!$AD$23:$AD$65,0))=0,"",INDEX('Fakturaunderlag lokalnät'!$L$23:$L$65,MATCH($N55,'Fakturaunderlag lokalnät'!$AD$23:$AD$65,0))),"")</f>
        <v/>
      </c>
      <c r="K55" s="139" t="str">
        <f>IF(B55="","",IF('Fakturaunderlag lokalnät'!$J$14="","",'Fakturaunderlag lokalnät'!$J$14))</f>
        <v/>
      </c>
      <c r="L55" s="140" t="str">
        <f>_xlfn.IFNA(IF(INDEX('Fakturaunderlag lokalnät'!$I$23:$I$65,MATCH($N55,'Fakturaunderlag lokalnät'!$AD$23:$AD$65,0))=0,"",INDEX('Fakturaunderlag lokalnät'!$I$23:$I$65,MATCH($N55,'Fakturaunderlag lokalnät'!$AD$23:$AD$65,0))),"")</f>
        <v/>
      </c>
      <c r="N55" s="148">
        <v>44</v>
      </c>
    </row>
    <row r="56" spans="1:14">
      <c r="A56" s="139" t="str">
        <f>_xlfn.IFNA(LEFT(IF(INDEX('Fakturaunderlag lokalnät'!$C$23:$C$65,MATCH($N56,'Fakturaunderlag lokalnät'!$AD$23:$AD$65,0))=0,"",INDEX('Fakturaunderlag lokalnät'!$C$23:$C$65,MATCH($N56,'Fakturaunderlag lokalnät'!$AD$23:$AD$65,0))),3),"")</f>
        <v/>
      </c>
      <c r="B56" s="139" t="str">
        <f>_xlfn.IFNA(IF(INDEX('Fakturaunderlag lokalnät'!$E$23:$E$65,MATCH($N56,'Fakturaunderlag lokalnät'!$AD$23:$AD$65,0))=0,"",INDEX('Fakturaunderlag lokalnät'!$E$23:$E$65,MATCH($N56,'Fakturaunderlag lokalnät'!$AD$23:$AD$65,0))),"")</f>
        <v/>
      </c>
      <c r="C56" s="135"/>
      <c r="D56" s="140" t="str">
        <f>_xlfn.IFNA(IF(INDEX('Fakturaunderlag lokalnät'!$O$23:$O$65,MATCH($N56,'Fakturaunderlag lokalnät'!$AD$23:$AD$65,0))=0,"",INDEX('Fakturaunderlag lokalnät'!$O$23:$O$65,MATCH($N56,'Fakturaunderlag lokalnät'!$AD$23:$AD$65,0))),"")</f>
        <v/>
      </c>
      <c r="E56" s="140" t="str">
        <f>_xlfn.IFNA(IF(INDEX('Fakturaunderlag lokalnät'!$T$23:$T$65,MATCH($N56,'Fakturaunderlag lokalnät'!$AD$23:$AD$65,0))=0,"",INDEX('Fakturaunderlag lokalnät'!$T$23:$T$65,MATCH($N56,'Fakturaunderlag lokalnät'!$AD$23:$AD$65,0))),"")</f>
        <v/>
      </c>
      <c r="F56" s="140" t="str">
        <f>_xlfn.IFNA(IF(INDEX('Fakturaunderlag lokalnät'!$P$23:$P$65,MATCH($N56,'Fakturaunderlag lokalnät'!$AD$23:$AD$65,0))=0,"",INDEX('Fakturaunderlag lokalnät'!$P$23:$P$65,MATCH($N56,'Fakturaunderlag lokalnät'!$AD$23:$AD$65,0))),"")</f>
        <v/>
      </c>
      <c r="G56" s="140" t="str">
        <f>_xlfn.IFNA(IF(INDEX('Fakturaunderlag lokalnät'!$Q$23:$Q$65,MATCH($N56,'Fakturaunderlag lokalnät'!$AD$23:$AD$65,0))=0,"",INDEX('Fakturaunderlag lokalnät'!$Q$23:$Q$65,MATCH($N56,'Fakturaunderlag lokalnät'!$AD$23:$AD$65,0))),"")</f>
        <v/>
      </c>
      <c r="H56" s="140" t="str">
        <f>_xlfn.IFNA(IF(INDEX('Fakturaunderlag lokalnät'!$R$23:$R$65,MATCH($N56,'Fakturaunderlag lokalnät'!$AD$23:$AD$65,0))=0,"",INDEX('Fakturaunderlag lokalnät'!$R$23:$R$65,MATCH($N56,'Fakturaunderlag lokalnät'!$AD$23:$AD$65,0))),"")</f>
        <v/>
      </c>
      <c r="I56" s="140" t="str">
        <f>_xlfn.IFNA(IF(INDEX('Fakturaunderlag lokalnät'!$S$23:$S$65,MATCH($N56,'Fakturaunderlag lokalnät'!$AD$23:$AD$65,0))=0,"",INDEX('Fakturaunderlag lokalnät'!$S$23:$S$65,MATCH($N56,'Fakturaunderlag lokalnät'!$AD$23:$AD$65,0))),"")</f>
        <v/>
      </c>
      <c r="J56" s="153" t="str">
        <f>_xlfn.IFNA(IF(INDEX('Fakturaunderlag lokalnät'!$L$23:$L$65,MATCH($N56,'Fakturaunderlag lokalnät'!$AD$23:$AD$65,0))=0,"",INDEX('Fakturaunderlag lokalnät'!$L$23:$L$65,MATCH($N56,'Fakturaunderlag lokalnät'!$AD$23:$AD$65,0))),"")</f>
        <v/>
      </c>
      <c r="K56" s="139" t="str">
        <f>IF(B56="","",IF('Fakturaunderlag lokalnät'!$J$14="","",'Fakturaunderlag lokalnät'!$J$14))</f>
        <v/>
      </c>
      <c r="L56" s="140" t="str">
        <f>_xlfn.IFNA(IF(INDEX('Fakturaunderlag lokalnät'!$I$23:$I$65,MATCH($N56,'Fakturaunderlag lokalnät'!$AD$23:$AD$65,0))=0,"",INDEX('Fakturaunderlag lokalnät'!$I$23:$I$65,MATCH($N56,'Fakturaunderlag lokalnät'!$AD$23:$AD$65,0))),"")</f>
        <v/>
      </c>
      <c r="N56" s="148">
        <v>45</v>
      </c>
    </row>
    <row r="57" spans="1:14">
      <c r="A57" s="139" t="str">
        <f>_xlfn.IFNA(LEFT(IF(INDEX('Fakturaunderlag lokalnät'!$C$23:$C$65,MATCH($N57,'Fakturaunderlag lokalnät'!$AD$23:$AD$65,0))=0,"",INDEX('Fakturaunderlag lokalnät'!$C$23:$C$65,MATCH($N57,'Fakturaunderlag lokalnät'!$AD$23:$AD$65,0))),3),"")</f>
        <v/>
      </c>
      <c r="B57" s="139" t="str">
        <f>_xlfn.IFNA(IF(INDEX('Fakturaunderlag lokalnät'!$E$23:$E$65,MATCH($N57,'Fakturaunderlag lokalnät'!$AD$23:$AD$65,0))=0,"",INDEX('Fakturaunderlag lokalnät'!$E$23:$E$65,MATCH($N57,'Fakturaunderlag lokalnät'!$AD$23:$AD$65,0))),"")</f>
        <v/>
      </c>
      <c r="C57" s="135"/>
      <c r="D57" s="140" t="str">
        <f>_xlfn.IFNA(IF(INDEX('Fakturaunderlag lokalnät'!$O$23:$O$65,MATCH($N57,'Fakturaunderlag lokalnät'!$AD$23:$AD$65,0))=0,"",INDEX('Fakturaunderlag lokalnät'!$O$23:$O$65,MATCH($N57,'Fakturaunderlag lokalnät'!$AD$23:$AD$65,0))),"")</f>
        <v/>
      </c>
      <c r="E57" s="140" t="str">
        <f>_xlfn.IFNA(IF(INDEX('Fakturaunderlag lokalnät'!$T$23:$T$65,MATCH($N57,'Fakturaunderlag lokalnät'!$AD$23:$AD$65,0))=0,"",INDEX('Fakturaunderlag lokalnät'!$T$23:$T$65,MATCH($N57,'Fakturaunderlag lokalnät'!$AD$23:$AD$65,0))),"")</f>
        <v/>
      </c>
      <c r="F57" s="140" t="str">
        <f>_xlfn.IFNA(IF(INDEX('Fakturaunderlag lokalnät'!$P$23:$P$65,MATCH($N57,'Fakturaunderlag lokalnät'!$AD$23:$AD$65,0))=0,"",INDEX('Fakturaunderlag lokalnät'!$P$23:$P$65,MATCH($N57,'Fakturaunderlag lokalnät'!$AD$23:$AD$65,0))),"")</f>
        <v/>
      </c>
      <c r="G57" s="140" t="str">
        <f>_xlfn.IFNA(IF(INDEX('Fakturaunderlag lokalnät'!$Q$23:$Q$65,MATCH($N57,'Fakturaunderlag lokalnät'!$AD$23:$AD$65,0))=0,"",INDEX('Fakturaunderlag lokalnät'!$Q$23:$Q$65,MATCH($N57,'Fakturaunderlag lokalnät'!$AD$23:$AD$65,0))),"")</f>
        <v/>
      </c>
      <c r="H57" s="140" t="str">
        <f>_xlfn.IFNA(IF(INDEX('Fakturaunderlag lokalnät'!$R$23:$R$65,MATCH($N57,'Fakturaunderlag lokalnät'!$AD$23:$AD$65,0))=0,"",INDEX('Fakturaunderlag lokalnät'!$R$23:$R$65,MATCH($N57,'Fakturaunderlag lokalnät'!$AD$23:$AD$65,0))),"")</f>
        <v/>
      </c>
      <c r="I57" s="140" t="str">
        <f>_xlfn.IFNA(IF(INDEX('Fakturaunderlag lokalnät'!$S$23:$S$65,MATCH($N57,'Fakturaunderlag lokalnät'!$AD$23:$AD$65,0))=0,"",INDEX('Fakturaunderlag lokalnät'!$S$23:$S$65,MATCH($N57,'Fakturaunderlag lokalnät'!$AD$23:$AD$65,0))),"")</f>
        <v/>
      </c>
      <c r="J57" s="153" t="str">
        <f>_xlfn.IFNA(IF(INDEX('Fakturaunderlag lokalnät'!$L$23:$L$65,MATCH($N57,'Fakturaunderlag lokalnät'!$AD$23:$AD$65,0))=0,"",INDEX('Fakturaunderlag lokalnät'!$L$23:$L$65,MATCH($N57,'Fakturaunderlag lokalnät'!$AD$23:$AD$65,0))),"")</f>
        <v/>
      </c>
      <c r="K57" s="139" t="str">
        <f>IF(B57="","",IF('Fakturaunderlag lokalnät'!$J$14="","",'Fakturaunderlag lokalnät'!$J$14))</f>
        <v/>
      </c>
      <c r="L57" s="140" t="str">
        <f>_xlfn.IFNA(IF(INDEX('Fakturaunderlag lokalnät'!$I$23:$I$65,MATCH($N57,'Fakturaunderlag lokalnät'!$AD$23:$AD$65,0))=0,"",INDEX('Fakturaunderlag lokalnät'!$I$23:$I$65,MATCH($N57,'Fakturaunderlag lokalnät'!$AD$23:$AD$65,0))),"")</f>
        <v/>
      </c>
      <c r="N57" s="148">
        <v>46</v>
      </c>
    </row>
    <row r="58" spans="1:14">
      <c r="A58" s="139" t="str">
        <f>_xlfn.IFNA(LEFT(IF(INDEX('Fakturaunderlag lokalnät'!$C$23:$C$65,MATCH($N58,'Fakturaunderlag lokalnät'!$AD$23:$AD$65,0))=0,"",INDEX('Fakturaunderlag lokalnät'!$C$23:$C$65,MATCH($N58,'Fakturaunderlag lokalnät'!$AD$23:$AD$65,0))),3),"")</f>
        <v/>
      </c>
      <c r="B58" s="139" t="str">
        <f>_xlfn.IFNA(IF(INDEX('Fakturaunderlag lokalnät'!$E$23:$E$65,MATCH($N58,'Fakturaunderlag lokalnät'!$AD$23:$AD$65,0))=0,"",INDEX('Fakturaunderlag lokalnät'!$E$23:$E$65,MATCH($N58,'Fakturaunderlag lokalnät'!$AD$23:$AD$65,0))),"")</f>
        <v/>
      </c>
      <c r="C58" s="135"/>
      <c r="D58" s="140" t="str">
        <f>_xlfn.IFNA(IF(INDEX('Fakturaunderlag lokalnät'!$O$23:$O$65,MATCH($N58,'Fakturaunderlag lokalnät'!$AD$23:$AD$65,0))=0,"",INDEX('Fakturaunderlag lokalnät'!$O$23:$O$65,MATCH($N58,'Fakturaunderlag lokalnät'!$AD$23:$AD$65,0))),"")</f>
        <v/>
      </c>
      <c r="E58" s="140" t="str">
        <f>_xlfn.IFNA(IF(INDEX('Fakturaunderlag lokalnät'!$T$23:$T$65,MATCH($N58,'Fakturaunderlag lokalnät'!$AD$23:$AD$65,0))=0,"",INDEX('Fakturaunderlag lokalnät'!$T$23:$T$65,MATCH($N58,'Fakturaunderlag lokalnät'!$AD$23:$AD$65,0))),"")</f>
        <v/>
      </c>
      <c r="F58" s="140" t="str">
        <f>_xlfn.IFNA(IF(INDEX('Fakturaunderlag lokalnät'!$P$23:$P$65,MATCH($N58,'Fakturaunderlag lokalnät'!$AD$23:$AD$65,0))=0,"",INDEX('Fakturaunderlag lokalnät'!$P$23:$P$65,MATCH($N58,'Fakturaunderlag lokalnät'!$AD$23:$AD$65,0))),"")</f>
        <v/>
      </c>
      <c r="G58" s="140" t="str">
        <f>_xlfn.IFNA(IF(INDEX('Fakturaunderlag lokalnät'!$Q$23:$Q$65,MATCH($N58,'Fakturaunderlag lokalnät'!$AD$23:$AD$65,0))=0,"",INDEX('Fakturaunderlag lokalnät'!$Q$23:$Q$65,MATCH($N58,'Fakturaunderlag lokalnät'!$AD$23:$AD$65,0))),"")</f>
        <v/>
      </c>
      <c r="H58" s="140" t="str">
        <f>_xlfn.IFNA(IF(INDEX('Fakturaunderlag lokalnät'!$R$23:$R$65,MATCH($N58,'Fakturaunderlag lokalnät'!$AD$23:$AD$65,0))=0,"",INDEX('Fakturaunderlag lokalnät'!$R$23:$R$65,MATCH($N58,'Fakturaunderlag lokalnät'!$AD$23:$AD$65,0))),"")</f>
        <v/>
      </c>
      <c r="I58" s="140" t="str">
        <f>_xlfn.IFNA(IF(INDEX('Fakturaunderlag lokalnät'!$S$23:$S$65,MATCH($N58,'Fakturaunderlag lokalnät'!$AD$23:$AD$65,0))=0,"",INDEX('Fakturaunderlag lokalnät'!$S$23:$S$65,MATCH($N58,'Fakturaunderlag lokalnät'!$AD$23:$AD$65,0))),"")</f>
        <v/>
      </c>
      <c r="J58" s="153" t="str">
        <f>_xlfn.IFNA(IF(INDEX('Fakturaunderlag lokalnät'!$L$23:$L$65,MATCH($N58,'Fakturaunderlag lokalnät'!$AD$23:$AD$65,0))=0,"",INDEX('Fakturaunderlag lokalnät'!$L$23:$L$65,MATCH($N58,'Fakturaunderlag lokalnät'!$AD$23:$AD$65,0))),"")</f>
        <v/>
      </c>
      <c r="K58" s="139" t="str">
        <f>IF(B58="","",IF('Fakturaunderlag lokalnät'!$J$14="","",'Fakturaunderlag lokalnät'!$J$14))</f>
        <v/>
      </c>
      <c r="L58" s="140" t="str">
        <f>_xlfn.IFNA(IF(INDEX('Fakturaunderlag lokalnät'!$I$23:$I$65,MATCH($N58,'Fakturaunderlag lokalnät'!$AD$23:$AD$65,0))=0,"",INDEX('Fakturaunderlag lokalnät'!$I$23:$I$65,MATCH($N58,'Fakturaunderlag lokalnät'!$AD$23:$AD$65,0))),"")</f>
        <v/>
      </c>
      <c r="N58" s="148">
        <v>47</v>
      </c>
    </row>
    <row r="59" spans="1:14">
      <c r="A59" s="139" t="str">
        <f>_xlfn.IFNA(LEFT(IF(INDEX('Fakturaunderlag lokalnät'!$C$23:$C$65,MATCH($N59,'Fakturaunderlag lokalnät'!$AD$23:$AD$65,0))=0,"",INDEX('Fakturaunderlag lokalnät'!$C$23:$C$65,MATCH($N59,'Fakturaunderlag lokalnät'!$AD$23:$AD$65,0))),3),"")</f>
        <v/>
      </c>
      <c r="B59" s="139" t="str">
        <f>_xlfn.IFNA(IF(INDEX('Fakturaunderlag lokalnät'!$E$23:$E$65,MATCH($N59,'Fakturaunderlag lokalnät'!$AD$23:$AD$65,0))=0,"",INDEX('Fakturaunderlag lokalnät'!$E$23:$E$65,MATCH($N59,'Fakturaunderlag lokalnät'!$AD$23:$AD$65,0))),"")</f>
        <v/>
      </c>
      <c r="C59" s="135"/>
      <c r="D59" s="140" t="str">
        <f>_xlfn.IFNA(IF(INDEX('Fakturaunderlag lokalnät'!$O$23:$O$65,MATCH($N59,'Fakturaunderlag lokalnät'!$AD$23:$AD$65,0))=0,"",INDEX('Fakturaunderlag lokalnät'!$O$23:$O$65,MATCH($N59,'Fakturaunderlag lokalnät'!$AD$23:$AD$65,0))),"")</f>
        <v/>
      </c>
      <c r="E59" s="140" t="str">
        <f>_xlfn.IFNA(IF(INDEX('Fakturaunderlag lokalnät'!$T$23:$T$65,MATCH($N59,'Fakturaunderlag lokalnät'!$AD$23:$AD$65,0))=0,"",INDEX('Fakturaunderlag lokalnät'!$T$23:$T$65,MATCH($N59,'Fakturaunderlag lokalnät'!$AD$23:$AD$65,0))),"")</f>
        <v/>
      </c>
      <c r="F59" s="140" t="str">
        <f>_xlfn.IFNA(IF(INDEX('Fakturaunderlag lokalnät'!$P$23:$P$65,MATCH($N59,'Fakturaunderlag lokalnät'!$AD$23:$AD$65,0))=0,"",INDEX('Fakturaunderlag lokalnät'!$P$23:$P$65,MATCH($N59,'Fakturaunderlag lokalnät'!$AD$23:$AD$65,0))),"")</f>
        <v/>
      </c>
      <c r="G59" s="140" t="str">
        <f>_xlfn.IFNA(IF(INDEX('Fakturaunderlag lokalnät'!$Q$23:$Q$65,MATCH($N59,'Fakturaunderlag lokalnät'!$AD$23:$AD$65,0))=0,"",INDEX('Fakturaunderlag lokalnät'!$Q$23:$Q$65,MATCH($N59,'Fakturaunderlag lokalnät'!$AD$23:$AD$65,0))),"")</f>
        <v/>
      </c>
      <c r="H59" s="140" t="str">
        <f>_xlfn.IFNA(IF(INDEX('Fakturaunderlag lokalnät'!$R$23:$R$65,MATCH($N59,'Fakturaunderlag lokalnät'!$AD$23:$AD$65,0))=0,"",INDEX('Fakturaunderlag lokalnät'!$R$23:$R$65,MATCH($N59,'Fakturaunderlag lokalnät'!$AD$23:$AD$65,0))),"")</f>
        <v/>
      </c>
      <c r="I59" s="140" t="str">
        <f>_xlfn.IFNA(IF(INDEX('Fakturaunderlag lokalnät'!$S$23:$S$65,MATCH($N59,'Fakturaunderlag lokalnät'!$AD$23:$AD$65,0))=0,"",INDEX('Fakturaunderlag lokalnät'!$S$23:$S$65,MATCH($N59,'Fakturaunderlag lokalnät'!$AD$23:$AD$65,0))),"")</f>
        <v/>
      </c>
      <c r="J59" s="153" t="str">
        <f>_xlfn.IFNA(IF(INDEX('Fakturaunderlag lokalnät'!$L$23:$L$65,MATCH($N59,'Fakturaunderlag lokalnät'!$AD$23:$AD$65,0))=0,"",INDEX('Fakturaunderlag lokalnät'!$L$23:$L$65,MATCH($N59,'Fakturaunderlag lokalnät'!$AD$23:$AD$65,0))),"")</f>
        <v/>
      </c>
      <c r="K59" s="139" t="str">
        <f>IF(B59="","",IF('Fakturaunderlag lokalnät'!$J$14="","",'Fakturaunderlag lokalnät'!$J$14))</f>
        <v/>
      </c>
      <c r="L59" s="140" t="str">
        <f>_xlfn.IFNA(IF(INDEX('Fakturaunderlag lokalnät'!$I$23:$I$65,MATCH($N59,'Fakturaunderlag lokalnät'!$AD$23:$AD$65,0))=0,"",INDEX('Fakturaunderlag lokalnät'!$I$23:$I$65,MATCH($N59,'Fakturaunderlag lokalnät'!$AD$23:$AD$65,0))),"")</f>
        <v/>
      </c>
      <c r="N59" s="148">
        <v>48</v>
      </c>
    </row>
    <row r="60" spans="1:14">
      <c r="A60" s="139" t="str">
        <f>_xlfn.IFNA(LEFT(IF(INDEX('Fakturaunderlag lokalnät'!$C$23:$C$65,MATCH($N60,'Fakturaunderlag lokalnät'!$AD$23:$AD$65,0))=0,"",INDEX('Fakturaunderlag lokalnät'!$C$23:$C$65,MATCH($N60,'Fakturaunderlag lokalnät'!$AD$23:$AD$65,0))),3),"")</f>
        <v/>
      </c>
      <c r="B60" s="139" t="str">
        <f>_xlfn.IFNA(IF(INDEX('Fakturaunderlag lokalnät'!$E$23:$E$65,MATCH($N60,'Fakturaunderlag lokalnät'!$AD$23:$AD$65,0))=0,"",INDEX('Fakturaunderlag lokalnät'!$E$23:$E$65,MATCH($N60,'Fakturaunderlag lokalnät'!$AD$23:$AD$65,0))),"")</f>
        <v/>
      </c>
      <c r="C60" s="135"/>
      <c r="D60" s="140" t="str">
        <f>_xlfn.IFNA(IF(INDEX('Fakturaunderlag lokalnät'!$O$23:$O$65,MATCH($N60,'Fakturaunderlag lokalnät'!$AD$23:$AD$65,0))=0,"",INDEX('Fakturaunderlag lokalnät'!$O$23:$O$65,MATCH($N60,'Fakturaunderlag lokalnät'!$AD$23:$AD$65,0))),"")</f>
        <v/>
      </c>
      <c r="E60" s="140" t="str">
        <f>_xlfn.IFNA(IF(INDEX('Fakturaunderlag lokalnät'!$T$23:$T$65,MATCH($N60,'Fakturaunderlag lokalnät'!$AD$23:$AD$65,0))=0,"",INDEX('Fakturaunderlag lokalnät'!$T$23:$T$65,MATCH($N60,'Fakturaunderlag lokalnät'!$AD$23:$AD$65,0))),"")</f>
        <v/>
      </c>
      <c r="F60" s="140" t="str">
        <f>_xlfn.IFNA(IF(INDEX('Fakturaunderlag lokalnät'!$P$23:$P$65,MATCH($N60,'Fakturaunderlag lokalnät'!$AD$23:$AD$65,0))=0,"",INDEX('Fakturaunderlag lokalnät'!$P$23:$P$65,MATCH($N60,'Fakturaunderlag lokalnät'!$AD$23:$AD$65,0))),"")</f>
        <v/>
      </c>
      <c r="G60" s="140" t="str">
        <f>_xlfn.IFNA(IF(INDEX('Fakturaunderlag lokalnät'!$Q$23:$Q$65,MATCH($N60,'Fakturaunderlag lokalnät'!$AD$23:$AD$65,0))=0,"",INDEX('Fakturaunderlag lokalnät'!$Q$23:$Q$65,MATCH($N60,'Fakturaunderlag lokalnät'!$AD$23:$AD$65,0))),"")</f>
        <v/>
      </c>
      <c r="H60" s="140" t="str">
        <f>_xlfn.IFNA(IF(INDEX('Fakturaunderlag lokalnät'!$R$23:$R$65,MATCH($N60,'Fakturaunderlag lokalnät'!$AD$23:$AD$65,0))=0,"",INDEX('Fakturaunderlag lokalnät'!$R$23:$R$65,MATCH($N60,'Fakturaunderlag lokalnät'!$AD$23:$AD$65,0))),"")</f>
        <v/>
      </c>
      <c r="I60" s="140" t="str">
        <f>_xlfn.IFNA(IF(INDEX('Fakturaunderlag lokalnät'!$S$23:$S$65,MATCH($N60,'Fakturaunderlag lokalnät'!$AD$23:$AD$65,0))=0,"",INDEX('Fakturaunderlag lokalnät'!$S$23:$S$65,MATCH($N60,'Fakturaunderlag lokalnät'!$AD$23:$AD$65,0))),"")</f>
        <v/>
      </c>
      <c r="J60" s="153" t="str">
        <f>_xlfn.IFNA(IF(INDEX('Fakturaunderlag lokalnät'!$L$23:$L$65,MATCH($N60,'Fakturaunderlag lokalnät'!$AD$23:$AD$65,0))=0,"",INDEX('Fakturaunderlag lokalnät'!$L$23:$L$65,MATCH($N60,'Fakturaunderlag lokalnät'!$AD$23:$AD$65,0))),"")</f>
        <v/>
      </c>
      <c r="K60" s="139" t="str">
        <f>IF(B60="","",IF('Fakturaunderlag lokalnät'!$J$14="","",'Fakturaunderlag lokalnät'!$J$14))</f>
        <v/>
      </c>
      <c r="L60" s="140" t="str">
        <f>_xlfn.IFNA(IF(INDEX('Fakturaunderlag lokalnät'!$I$23:$I$65,MATCH($N60,'Fakturaunderlag lokalnät'!$AD$23:$AD$65,0))=0,"",INDEX('Fakturaunderlag lokalnät'!$I$23:$I$65,MATCH($N60,'Fakturaunderlag lokalnät'!$AD$23:$AD$65,0))),"")</f>
        <v/>
      </c>
      <c r="N60" s="148">
        <v>49</v>
      </c>
    </row>
    <row r="61" spans="1:14">
      <c r="A61" s="139" t="str">
        <f>_xlfn.IFNA(LEFT(IF(INDEX('Fakturaunderlag lokalnät'!$C$23:$C$65,MATCH($N61,'Fakturaunderlag lokalnät'!$AD$23:$AD$65,0))=0,"",INDEX('Fakturaunderlag lokalnät'!$C$23:$C$65,MATCH($N61,'Fakturaunderlag lokalnät'!$AD$23:$AD$65,0))),3),"")</f>
        <v/>
      </c>
      <c r="B61" s="139" t="str">
        <f>_xlfn.IFNA(IF(INDEX('Fakturaunderlag lokalnät'!$E$23:$E$65,MATCH($N61,'Fakturaunderlag lokalnät'!$AD$23:$AD$65,0))=0,"",INDEX('Fakturaunderlag lokalnät'!$E$23:$E$65,MATCH($N61,'Fakturaunderlag lokalnät'!$AD$23:$AD$65,0))),"")</f>
        <v/>
      </c>
      <c r="C61" s="135"/>
      <c r="D61" s="140" t="str">
        <f>_xlfn.IFNA(IF(INDEX('Fakturaunderlag lokalnät'!$O$23:$O$65,MATCH($N61,'Fakturaunderlag lokalnät'!$AD$23:$AD$65,0))=0,"",INDEX('Fakturaunderlag lokalnät'!$O$23:$O$65,MATCH($N61,'Fakturaunderlag lokalnät'!$AD$23:$AD$65,0))),"")</f>
        <v/>
      </c>
      <c r="E61" s="140" t="str">
        <f>_xlfn.IFNA(IF(INDEX('Fakturaunderlag lokalnät'!$T$23:$T$65,MATCH($N61,'Fakturaunderlag lokalnät'!$AD$23:$AD$65,0))=0,"",INDEX('Fakturaunderlag lokalnät'!$T$23:$T$65,MATCH($N61,'Fakturaunderlag lokalnät'!$AD$23:$AD$65,0))),"")</f>
        <v/>
      </c>
      <c r="F61" s="140" t="str">
        <f>_xlfn.IFNA(IF(INDEX('Fakturaunderlag lokalnät'!$P$23:$P$65,MATCH($N61,'Fakturaunderlag lokalnät'!$AD$23:$AD$65,0))=0,"",INDEX('Fakturaunderlag lokalnät'!$P$23:$P$65,MATCH($N61,'Fakturaunderlag lokalnät'!$AD$23:$AD$65,0))),"")</f>
        <v/>
      </c>
      <c r="G61" s="140" t="str">
        <f>_xlfn.IFNA(IF(INDEX('Fakturaunderlag lokalnät'!$Q$23:$Q$65,MATCH($N61,'Fakturaunderlag lokalnät'!$AD$23:$AD$65,0))=0,"",INDEX('Fakturaunderlag lokalnät'!$Q$23:$Q$65,MATCH($N61,'Fakturaunderlag lokalnät'!$AD$23:$AD$65,0))),"")</f>
        <v/>
      </c>
      <c r="H61" s="140" t="str">
        <f>_xlfn.IFNA(IF(INDEX('Fakturaunderlag lokalnät'!$R$23:$R$65,MATCH($N61,'Fakturaunderlag lokalnät'!$AD$23:$AD$65,0))=0,"",INDEX('Fakturaunderlag lokalnät'!$R$23:$R$65,MATCH($N61,'Fakturaunderlag lokalnät'!$AD$23:$AD$65,0))),"")</f>
        <v/>
      </c>
      <c r="I61" s="140" t="str">
        <f>_xlfn.IFNA(IF(INDEX('Fakturaunderlag lokalnät'!$S$23:$S$65,MATCH($N61,'Fakturaunderlag lokalnät'!$AD$23:$AD$65,0))=0,"",INDEX('Fakturaunderlag lokalnät'!$S$23:$S$65,MATCH($N61,'Fakturaunderlag lokalnät'!$AD$23:$AD$65,0))),"")</f>
        <v/>
      </c>
      <c r="J61" s="153" t="str">
        <f>_xlfn.IFNA(IF(INDEX('Fakturaunderlag lokalnät'!$L$23:$L$65,MATCH($N61,'Fakturaunderlag lokalnät'!$AD$23:$AD$65,0))=0,"",INDEX('Fakturaunderlag lokalnät'!$L$23:$L$65,MATCH($N61,'Fakturaunderlag lokalnät'!$AD$23:$AD$65,0))),"")</f>
        <v/>
      </c>
      <c r="K61" s="139" t="str">
        <f>IF(B61="","",IF('Fakturaunderlag lokalnät'!$J$14="","",'Fakturaunderlag lokalnät'!$J$14))</f>
        <v/>
      </c>
      <c r="L61" s="140" t="str">
        <f>_xlfn.IFNA(IF(INDEX('Fakturaunderlag lokalnät'!$I$23:$I$65,MATCH($N61,'Fakturaunderlag lokalnät'!$AD$23:$AD$65,0))=0,"",INDEX('Fakturaunderlag lokalnät'!$I$23:$I$65,MATCH($N61,'Fakturaunderlag lokalnät'!$AD$23:$AD$65,0))),"")</f>
        <v/>
      </c>
      <c r="N61" s="148">
        <v>50</v>
      </c>
    </row>
  </sheetData>
  <sheetProtection algorithmName="SHA-512" hashValue="6/R7Ip4IS1Wh0BnbCnMgWEz8VQuQwlD7ZOoNxKYyLA+6V9wsKd0DhyZfNctmqmheuefXCQc4bN3sgdaQahMCUA==" saltValue="SlwyHZk2cgTSeVS83dVLMQ==" spinCount="100000" sheet="1" objects="1" scenarios="1"/>
  <mergeCells count="1">
    <mergeCell ref="K7:L7"/>
  </mergeCells>
  <conditionalFormatting sqref="B12:B61 E12:J61">
    <cfRule type="notContainsBlanks" dxfId="56" priority="56">
      <formula>LEN(TRIM(B12))&gt;0</formula>
    </cfRule>
    <cfRule type="containsBlanks" dxfId="55" priority="57">
      <formula>LEN(TRIM(B12))=0</formula>
    </cfRule>
  </conditionalFormatting>
  <conditionalFormatting sqref="D12:D61">
    <cfRule type="notContainsBlanks" dxfId="54" priority="53">
      <formula>LEN(TRIM(D12))&gt;0</formula>
    </cfRule>
    <cfRule type="containsBlanks" dxfId="53" priority="54">
      <formula>LEN(TRIM(D12))=0</formula>
    </cfRule>
  </conditionalFormatting>
  <conditionalFormatting sqref="B12:B61 D12:J61">
    <cfRule type="expression" dxfId="52" priority="55">
      <formula>#REF!&lt;&gt;""</formula>
    </cfRule>
  </conditionalFormatting>
  <conditionalFormatting sqref="K12:K61">
    <cfRule type="notContainsBlanks" dxfId="51" priority="50">
      <formula>LEN(TRIM(K12))&gt;0</formula>
    </cfRule>
    <cfRule type="containsBlanks" dxfId="50" priority="51">
      <formula>LEN(TRIM(K12))=0</formula>
    </cfRule>
  </conditionalFormatting>
  <conditionalFormatting sqref="K12:K61">
    <cfRule type="expression" dxfId="49" priority="52">
      <formula>#REF!&lt;&gt;""</formula>
    </cfRule>
  </conditionalFormatting>
  <conditionalFormatting sqref="L12:L61">
    <cfRule type="notContainsBlanks" dxfId="48" priority="48">
      <formula>LEN(TRIM(L12))&gt;0</formula>
    </cfRule>
    <cfRule type="containsBlanks" dxfId="47" priority="49">
      <formula>LEN(TRIM(L12))=0</formula>
    </cfRule>
  </conditionalFormatting>
  <conditionalFormatting sqref="L12:L61">
    <cfRule type="expression" dxfId="46" priority="47">
      <formula>#REF!&lt;&gt;""</formula>
    </cfRule>
  </conditionalFormatting>
  <conditionalFormatting sqref="D12:D61">
    <cfRule type="notContainsBlanks" dxfId="45" priority="45">
      <formula>LEN(TRIM(D12))&gt;0</formula>
    </cfRule>
    <cfRule type="containsBlanks" dxfId="44" priority="46">
      <formula>LEN(TRIM(D12))=0</formula>
    </cfRule>
  </conditionalFormatting>
  <conditionalFormatting sqref="D13:D61">
    <cfRule type="notContainsBlanks" dxfId="43" priority="43">
      <formula>LEN(TRIM(D13))&gt;0</formula>
    </cfRule>
    <cfRule type="containsBlanks" dxfId="42" priority="44">
      <formula>LEN(TRIM(D13))=0</formula>
    </cfRule>
  </conditionalFormatting>
  <conditionalFormatting sqref="E12:E61">
    <cfRule type="notContainsBlanks" dxfId="41" priority="41">
      <formula>LEN(TRIM(E12))&gt;0</formula>
    </cfRule>
    <cfRule type="containsBlanks" dxfId="40" priority="42">
      <formula>LEN(TRIM(E12))=0</formula>
    </cfRule>
  </conditionalFormatting>
  <conditionalFormatting sqref="E12:E61">
    <cfRule type="notContainsBlanks" dxfId="39" priority="39">
      <formula>LEN(TRIM(E12))&gt;0</formula>
    </cfRule>
    <cfRule type="containsBlanks" dxfId="38" priority="40">
      <formula>LEN(TRIM(E12))=0</formula>
    </cfRule>
  </conditionalFormatting>
  <conditionalFormatting sqref="F12:F61">
    <cfRule type="notContainsBlanks" dxfId="37" priority="37">
      <formula>LEN(TRIM(F12))&gt;0</formula>
    </cfRule>
    <cfRule type="containsBlanks" dxfId="36" priority="38">
      <formula>LEN(TRIM(F12))=0</formula>
    </cfRule>
  </conditionalFormatting>
  <conditionalFormatting sqref="F12:F61">
    <cfRule type="notContainsBlanks" dxfId="35" priority="35">
      <formula>LEN(TRIM(F12))&gt;0</formula>
    </cfRule>
    <cfRule type="containsBlanks" dxfId="34" priority="36">
      <formula>LEN(TRIM(F12))=0</formula>
    </cfRule>
  </conditionalFormatting>
  <conditionalFormatting sqref="G12:G61">
    <cfRule type="notContainsBlanks" dxfId="33" priority="33">
      <formula>LEN(TRIM(G12))&gt;0</formula>
    </cfRule>
    <cfRule type="containsBlanks" dxfId="32" priority="34">
      <formula>LEN(TRIM(G12))=0</formula>
    </cfRule>
  </conditionalFormatting>
  <conditionalFormatting sqref="G12:G61">
    <cfRule type="notContainsBlanks" dxfId="31" priority="31">
      <formula>LEN(TRIM(G12))&gt;0</formula>
    </cfRule>
    <cfRule type="containsBlanks" dxfId="30" priority="32">
      <formula>LEN(TRIM(G12))=0</formula>
    </cfRule>
  </conditionalFormatting>
  <conditionalFormatting sqref="H12:H61">
    <cfRule type="notContainsBlanks" dxfId="29" priority="29">
      <formula>LEN(TRIM(H12))&gt;0</formula>
    </cfRule>
    <cfRule type="containsBlanks" dxfId="28" priority="30">
      <formula>LEN(TRIM(H12))=0</formula>
    </cfRule>
  </conditionalFormatting>
  <conditionalFormatting sqref="H12:H61">
    <cfRule type="notContainsBlanks" dxfId="27" priority="27">
      <formula>LEN(TRIM(H12))&gt;0</formula>
    </cfRule>
    <cfRule type="containsBlanks" dxfId="26" priority="28">
      <formula>LEN(TRIM(H12))=0</formula>
    </cfRule>
  </conditionalFormatting>
  <conditionalFormatting sqref="I12:I61">
    <cfRule type="notContainsBlanks" dxfId="25" priority="25">
      <formula>LEN(TRIM(I12))&gt;0</formula>
    </cfRule>
    <cfRule type="containsBlanks" dxfId="24" priority="26">
      <formula>LEN(TRIM(I12))=0</formula>
    </cfRule>
  </conditionalFormatting>
  <conditionalFormatting sqref="I12:I61">
    <cfRule type="notContainsBlanks" dxfId="23" priority="23">
      <formula>LEN(TRIM(I12))&gt;0</formula>
    </cfRule>
    <cfRule type="containsBlanks" dxfId="22" priority="24">
      <formula>LEN(TRIM(I12))=0</formula>
    </cfRule>
  </conditionalFormatting>
  <conditionalFormatting sqref="J12:J61">
    <cfRule type="notContainsBlanks" dxfId="21" priority="21">
      <formula>LEN(TRIM(J12))&gt;0</formula>
    </cfRule>
    <cfRule type="containsBlanks" dxfId="20" priority="22">
      <formula>LEN(TRIM(J12))=0</formula>
    </cfRule>
  </conditionalFormatting>
  <conditionalFormatting sqref="J12:J61">
    <cfRule type="notContainsBlanks" dxfId="19" priority="19">
      <formula>LEN(TRIM(J12))&gt;0</formula>
    </cfRule>
    <cfRule type="containsBlanks" dxfId="18" priority="20">
      <formula>LEN(TRIM(J12))=0</formula>
    </cfRule>
  </conditionalFormatting>
  <conditionalFormatting sqref="A12:A61">
    <cfRule type="notContainsBlanks" dxfId="17" priority="17">
      <formula>LEN(TRIM(A12))&gt;0</formula>
    </cfRule>
    <cfRule type="containsBlanks" dxfId="16" priority="18">
      <formula>LEN(TRIM(A12))=0</formula>
    </cfRule>
  </conditionalFormatting>
  <conditionalFormatting sqref="A12:A61">
    <cfRule type="expression" dxfId="15" priority="16">
      <formula>#REF!&lt;&gt;""</formula>
    </cfRule>
  </conditionalFormatting>
  <conditionalFormatting sqref="K5">
    <cfRule type="notContainsBlanks" dxfId="14" priority="7">
      <formula>LEN(TRIM(K5))&gt;0</formula>
    </cfRule>
    <cfRule type="containsBlanks" dxfId="13" priority="8">
      <formula>LEN(TRIM(K5))=0</formula>
    </cfRule>
  </conditionalFormatting>
  <conditionalFormatting sqref="C5">
    <cfRule type="notContainsBlanks" dxfId="12" priority="1">
      <formula>LEN(TRIM(C5))&gt;0</formula>
    </cfRule>
    <cfRule type="containsBlanks" dxfId="11" priority="2">
      <formula>LEN(TRIM(C5))=0</formula>
    </cfRule>
  </conditionalFormatting>
  <conditionalFormatting sqref="D5:J5">
    <cfRule type="notContainsBlanks" dxfId="10" priority="13">
      <formula>LEN(TRIM(D5))&gt;0</formula>
    </cfRule>
    <cfRule type="containsBlanks" dxfId="9" priority="14">
      <formula>LEN(TRIM(D5))=0</formula>
    </cfRule>
  </conditionalFormatting>
  <conditionalFormatting sqref="D5:J5">
    <cfRule type="expression" dxfId="8" priority="15">
      <formula>#REF!&lt;&gt;""</formula>
    </cfRule>
  </conditionalFormatting>
  <conditionalFormatting sqref="B8">
    <cfRule type="notContainsBlanks" dxfId="7" priority="10">
      <formula>LEN(TRIM(B8))&gt;0</formula>
    </cfRule>
    <cfRule type="containsBlanks" dxfId="6" priority="11">
      <formula>LEN(TRIM(B8))=0</formula>
    </cfRule>
  </conditionalFormatting>
  <conditionalFormatting sqref="B8">
    <cfRule type="expression" dxfId="5" priority="12">
      <formula>#REF!&lt;&gt;""</formula>
    </cfRule>
  </conditionalFormatting>
  <conditionalFormatting sqref="K5">
    <cfRule type="expression" dxfId="4" priority="9">
      <formula>#REF!&lt;&gt;""</formula>
    </cfRule>
  </conditionalFormatting>
  <conditionalFormatting sqref="B5">
    <cfRule type="notContainsBlanks" dxfId="3" priority="4">
      <formula>LEN(TRIM(B5))&gt;0</formula>
    </cfRule>
    <cfRule type="containsBlanks" dxfId="2" priority="5">
      <formula>LEN(TRIM(B5))=0</formula>
    </cfRule>
  </conditionalFormatting>
  <conditionalFormatting sqref="B5">
    <cfRule type="expression" dxfId="1" priority="6">
      <formula>#REF!&lt;&gt;""</formula>
    </cfRule>
  </conditionalFormatting>
  <conditionalFormatting sqref="C5">
    <cfRule type="expression" dxfId="0" priority="3">
      <formula>#REF!&lt;&gt;""</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Fortum Document" ma:contentTypeID="0x01010089EB43F41807C3489C32AC8BD03E03320036E29D008F714546851E3328CE130AF1" ma:contentTypeVersion="74" ma:contentTypeDescription="" ma:contentTypeScope="" ma:versionID="98d8c995c5b06cc5e3af7d82f78cff05">
  <xsd:schema xmlns:xsd="http://www.w3.org/2001/XMLSchema" xmlns:xs="http://www.w3.org/2001/XMLSchema" xmlns:p="http://schemas.microsoft.com/office/2006/metadata/properties" xmlns:ns2="02a69432-664c-401f-8103-d5aa6229c65c" xmlns:ns3="1c1f5ffb-75f0-43ea-9c84-2c6d98883f5d" xmlns:ns4="82f32430-1573-490c-b778-41be6ad0362d" xmlns:ns5="http://schemas.microsoft.com/sharepoint/v4" targetNamespace="http://schemas.microsoft.com/office/2006/metadata/properties" ma:root="true" ma:fieldsID="9de0def2196d2cf1f9906c4c58633e04" ns2:_="" ns3:_="" ns4:_="" ns5:_="">
    <xsd:import namespace="02a69432-664c-401f-8103-d5aa6229c65c"/>
    <xsd:import namespace="1c1f5ffb-75f0-43ea-9c84-2c6d98883f5d"/>
    <xsd:import namespace="82f32430-1573-490c-b778-41be6ad0362d"/>
    <xsd:import namespace="http://schemas.microsoft.com/sharepoint/v4"/>
    <xsd:element name="properties">
      <xsd:complexType>
        <xsd:sequence>
          <xsd:element name="documentManagement">
            <xsd:complexType>
              <xsd:all>
                <xsd:element ref="ns2:FortumDMDocumentTypeTaxHTField0" minOccurs="0"/>
                <xsd:element ref="ns3:TaxCatchAll" minOccurs="0"/>
                <xsd:element ref="ns2:FortumDMOriginallyCreated"/>
                <xsd:element ref="ns2:FortumDMOrganisationTaxHTField0" minOccurs="0"/>
                <xsd:element ref="ns2:FortumDMAuthors" minOccurs="0"/>
                <xsd:element ref="ns2:FortumDMAuthorOther" minOccurs="0"/>
                <xsd:element ref="ns2:FortumDMConfidentialityTaxHTField0" minOccurs="0"/>
                <xsd:element ref="ns2:FortumDMLanguageTaxHTField0" minOccurs="0"/>
                <xsd:element ref="ns2:FortumDMLocationTaxHTField0" minOccurs="0"/>
                <xsd:element ref="ns2:FortumDMSentTo" minOccurs="0"/>
                <xsd:element ref="ns2:FortumDMSuppliedBy" minOccurs="0"/>
                <xsd:element ref="ns2:FortumDMAppendices" minOccurs="0"/>
                <xsd:element ref="ns2:FortumDMIsArchived" minOccurs="0"/>
                <xsd:element ref="ns2:_dlc_DocIdUrl" minOccurs="0"/>
                <xsd:element ref="ns2:_dlc_DocId" minOccurs="0"/>
                <xsd:element ref="ns2:_dlc_DocIdPersistId" minOccurs="0"/>
                <xsd:element ref="ns3:TaxCatchAllLabel" minOccurs="0"/>
                <xsd:element ref="ns4:Process" minOccurs="0"/>
                <xsd:element ref="ns5:IconOverlay"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a69432-664c-401f-8103-d5aa6229c65c" elementFormDefault="qualified">
    <xsd:import namespace="http://schemas.microsoft.com/office/2006/documentManagement/types"/>
    <xsd:import namespace="http://schemas.microsoft.com/office/infopath/2007/PartnerControls"/>
    <xsd:element name="FortumDMDocumentTypeTaxHTField0" ma:index="5" nillable="true" ma:taxonomy="true" ma:internalName="FortumDMDocumentTypeTaxHTField0" ma:taxonomyFieldName="FortumDMDocumentType" ma:displayName="Document type" ma:readOnly="false" ma:fieldId="{a3b82126-6108-43c2-bde2-68aaec6a0b7f}" ma:sspId="a456df7c-daf4-424b-9bb1-210d42e11ade" ma:termSetId="a1700bca-e133-4ac2-bb21-7c0b44a6ed43" ma:anchorId="00000000-0000-0000-0000-000000000000" ma:open="false" ma:isKeyword="false">
      <xsd:complexType>
        <xsd:sequence>
          <xsd:element ref="pc:Terms" minOccurs="0" maxOccurs="1"/>
        </xsd:sequence>
      </xsd:complexType>
    </xsd:element>
    <xsd:element name="FortumDMOriginallyCreated" ma:index="7" ma:displayName="Originally created" ma:default="[today]" ma:description="Date of creation" ma:format="DateOnly" ma:internalName="FortumDMOriginallyCreated" ma:readOnly="false">
      <xsd:simpleType>
        <xsd:restriction base="dms:DateTime"/>
      </xsd:simpleType>
    </xsd:element>
    <xsd:element name="FortumDMOrganisationTaxHTField0" ma:index="9" nillable="true" ma:taxonomy="true" ma:internalName="FortumDMOrganisationTaxHTField0" ma:taxonomyFieldName="FortumDMOrganisation" ma:displayName="Organisation" ma:readOnly="false" ma:fieldId="{084f8985-1a5a-4d36-8e4f-30f3034d21d2}" ma:sspId="a456df7c-daf4-424b-9bb1-210d42e11ade" ma:termSetId="392c69ae-01a2-4c67-9054-4e3e0b5d29f5" ma:anchorId="00000000-0000-0000-0000-000000000000" ma:open="false" ma:isKeyword="false">
      <xsd:complexType>
        <xsd:sequence>
          <xsd:element ref="pc:Terms" minOccurs="0" maxOccurs="1"/>
        </xsd:sequence>
      </xsd:complexType>
    </xsd:element>
    <xsd:element name="FortumDMAuthors" ma:index="10" nillable="true" ma:displayName="Fortum author(s)" ma:description="Document author in Fortum" ma:list="UserInfo" ma:SharePointGroup="0" ma:internalName="FortumDMAuthors"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FortumDMAuthorOther" ma:index="11" nillable="true" ma:displayName="Other author(s)" ma:description="Possible other authors" ma:internalName="FortumDMAuthorOther" ma:readOnly="false">
      <xsd:simpleType>
        <xsd:restriction base="dms:Text">
          <xsd:maxLength value="255"/>
        </xsd:restriction>
      </xsd:simpleType>
    </xsd:element>
    <xsd:element name="FortumDMConfidentialityTaxHTField0" ma:index="13" nillable="true" ma:taxonomy="true" ma:internalName="FortumDMConfidentialityTaxHTField0" ma:taxonomyFieldName="FortumDMConfidentiality" ma:displayName="Confidentiality" ma:readOnly="false" ma:fieldId="{1333bfed-0a7e-4b52-a657-2caeddf08001}" ma:sspId="a456df7c-daf4-424b-9bb1-210d42e11ade" ma:termSetId="9a398c51-d744-4749-9a98-3bd7d14b4f4c" ma:anchorId="00000000-0000-0000-0000-000000000000" ma:open="false" ma:isKeyword="false">
      <xsd:complexType>
        <xsd:sequence>
          <xsd:element ref="pc:Terms" minOccurs="0" maxOccurs="1"/>
        </xsd:sequence>
      </xsd:complexType>
    </xsd:element>
    <xsd:element name="FortumDMLanguageTaxHTField0" ma:index="15" nillable="true" ma:taxonomy="true" ma:internalName="FortumDMLanguageTaxHTField0" ma:taxonomyFieldName="FortumDMLanguage" ma:displayName="Language" ma:readOnly="false" ma:fieldId="{fb5aebce-6672-486f-b954-b687f1071544}" ma:sspId="a456df7c-daf4-424b-9bb1-210d42e11ade" ma:termSetId="a6263545-d1bc-4eef-9446-ef7f46ce62f4" ma:anchorId="00000000-0000-0000-0000-000000000000" ma:open="false" ma:isKeyword="false">
      <xsd:complexType>
        <xsd:sequence>
          <xsd:element ref="pc:Terms" minOccurs="0" maxOccurs="1"/>
        </xsd:sequence>
      </xsd:complexType>
    </xsd:element>
    <xsd:element name="FortumDMLocationTaxHTField0" ma:index="17" nillable="true" ma:taxonomy="true" ma:internalName="FortumDMLocationTaxHTField0" ma:taxonomyFieldName="FortumDMLocation" ma:displayName="Location" ma:readOnly="false" ma:fieldId="{fdb7a790-508d-4d3c-85e4-aa71821182aa}" ma:sspId="a456df7c-daf4-424b-9bb1-210d42e11ade" ma:termSetId="338c77cb-91d0-407a-9457-292d50922ca5" ma:anchorId="00000000-0000-0000-0000-000000000000" ma:open="false" ma:isKeyword="false">
      <xsd:complexType>
        <xsd:sequence>
          <xsd:element ref="pc:Terms" minOccurs="0" maxOccurs="1"/>
        </xsd:sequence>
      </xsd:complexType>
    </xsd:element>
    <xsd:element name="FortumDMSentTo" ma:index="18" nillable="true" ma:displayName="Sent to" ma:description="Name of the organisation where the document has been sent to" ma:internalName="FortumDMSentTo" ma:readOnly="false">
      <xsd:simpleType>
        <xsd:restriction base="dms:Note">
          <xsd:maxLength value="255"/>
        </xsd:restriction>
      </xsd:simpleType>
    </xsd:element>
    <xsd:element name="FortumDMSuppliedBy" ma:index="19" nillable="true" ma:displayName="Supplied by" ma:description="Name of the organisation who has sent this document" ma:internalName="FortumDMSuppliedBy" ma:readOnly="false">
      <xsd:simpleType>
        <xsd:restriction base="dms:Note">
          <xsd:maxLength value="255"/>
        </xsd:restriction>
      </xsd:simpleType>
    </xsd:element>
    <xsd:element name="FortumDMAppendices" ma:index="20" nillable="true" ma:displayName="Appendices" ma:description="List of the appendices" ma:internalName="FortumDMAppendices" ma:readOnly="false">
      <xsd:simpleType>
        <xsd:restriction base="dms:Note">
          <xsd:maxLength value="255"/>
        </xsd:restriction>
      </xsd:simpleType>
    </xsd:element>
    <xsd:element name="FortumDMIsArchived" ma:index="21" nillable="true" ma:displayName="Archived" ma:default="0" ma:description="The document is archived" ma:internalName="FortumDMIsArchived" ma:readOnly="true">
      <xsd:simpleType>
        <xsd:restriction base="dms:Boolean"/>
      </xsd:simpleType>
    </xsd:element>
    <xsd:element name="_dlc_DocIdUrl" ma:index="22" nillable="true" ma:displayName="Dokument-ID" ma:description="Permanent länk till det här dokumente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 ma:index="23" nillable="true" ma:displayName="Dokument-ID-värde" ma:description="Värdet för dokument-ID som tilldelats till det här objektet." ma:internalName="_dlc_DocId" ma:readOnly="true">
      <xsd:simpleType>
        <xsd:restriction base="dms:Text"/>
      </xsd:simpleType>
    </xsd:element>
    <xsd:element name="_dlc_DocIdPersistId" ma:index="24" nillable="true" ma:displayName="Spara ID" ma:description="Behåll ID vid tillägg." ma:hidden="true" ma:internalName="_dlc_DocIdPersistId" ma:readOnly="false">
      <xsd:simpleType>
        <xsd:restriction base="dms:Boolean"/>
      </xsd:simpleType>
    </xsd:element>
    <xsd:element name="SharedWithUsers" ma:index="32" nillable="true" ma:displayName="Dela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3" nillable="true" ma:displayName="Delat med informa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c1f5ffb-75f0-43ea-9c84-2c6d98883f5d"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811da590-88ba-46db-bd90-c2e2fd6e9260}" ma:internalName="TaxCatchAll" ma:showField="CatchAllData" ma:web="02a69432-664c-401f-8103-d5aa6229c65c">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hidden="true" ma:list="{811da590-88ba-46db-bd90-c2e2fd6e9260}" ma:internalName="TaxCatchAllLabel" ma:readOnly="true" ma:showField="CatchAllDataLabel" ma:web="02a69432-664c-401f-8103-d5aa6229c65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82f32430-1573-490c-b778-41be6ad0362d" elementFormDefault="qualified">
    <xsd:import namespace="http://schemas.microsoft.com/office/2006/documentManagement/types"/>
    <xsd:import namespace="http://schemas.microsoft.com/office/infopath/2007/PartnerControls"/>
    <xsd:element name="Process" ma:index="30" nillable="true" ma:displayName="Process" ma:internalName="Process">
      <xsd:complexType>
        <xsd:complexContent>
          <xsd:extension base="dms:MultiChoice">
            <xsd:sequence>
              <xsd:element name="Value" maxOccurs="unbounded" minOccurs="0" nillable="true">
                <xsd:simpleType>
                  <xsd:restriction base="dms:Choice">
                    <xsd:enumeration value="Underhåll Lokalnät"/>
                    <xsd:enumeration value="Underhåll Regionnät"/>
                    <xsd:enumeration value="Bygg Lokalnät"/>
                    <xsd:enumeration value="Bygg Regionnät"/>
                  </xsd:restriction>
                </xsd:simple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Innehållstyp"/>
        <xsd:element ref="dc:title" minOccurs="0" maxOccurs="1" ma:index="3" ma:displayName="Rubri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_dlc_DocId xmlns="02a69432-664c-401f-8103-d5aa6229c65c">DDFAHEFVDJZC-2002571329-5467</_dlc_DocId>
    <_dlc_DocIdUrl xmlns="02a69432-664c-401f-8103-d5aa6229c65c">
      <Url>https://sp.office.ellevio.com/sites/finance/_layouts/15/DocIdRedir.aspx?ID=DDFAHEFVDJZC-2002571329-5467</Url>
      <Description>DDFAHEFVDJZC-2002571329-5467</Description>
    </_dlc_DocIdUrl>
    <_dlc_DocIdPersistId xmlns="02a69432-664c-401f-8103-d5aa6229c65c" xsi:nil="true"/>
    <FortumDMLanguageTaxHTField0 xmlns="02a69432-664c-401f-8103-d5aa6229c65c">
      <Terms xmlns="http://schemas.microsoft.com/office/infopath/2007/PartnerControls">
        <TermInfo xmlns="http://schemas.microsoft.com/office/infopath/2007/PartnerControls">
          <TermName xmlns="http://schemas.microsoft.com/office/infopath/2007/PartnerControls">svenska</TermName>
          <TermId xmlns="http://schemas.microsoft.com/office/infopath/2007/PartnerControls">52c73ba5-9293-4c1f-95eb-eee45aacb4f1</TermId>
        </TermInfo>
      </Terms>
    </FortumDMLanguageTaxHTField0>
    <FortumDMAuthorOther xmlns="02a69432-664c-401f-8103-d5aa6229c65c" xsi:nil="true"/>
    <FortumDMConfidentialityTaxHTField0 xmlns="02a69432-664c-401f-8103-d5aa6229c65c">
      <Terms xmlns="http://schemas.microsoft.com/office/infopath/2007/PartnerControls">
        <TermInfo xmlns="http://schemas.microsoft.com/office/infopath/2007/PartnerControls">
          <TermName xmlns="http://schemas.microsoft.com/office/infopath/2007/PartnerControls">Confidential (SV)</TermName>
          <TermId xmlns="http://schemas.microsoft.com/office/infopath/2007/PartnerControls">b7a3ce4c-48c8-4e42-97b3-d3b204cc3209</TermId>
        </TermInfo>
      </Terms>
    </FortumDMConfidentialityTaxHTField0>
    <FortumDMSentTo xmlns="02a69432-664c-401f-8103-d5aa6229c65c" xsi:nil="true"/>
    <IconOverlay xmlns="http://schemas.microsoft.com/sharepoint/v4" xsi:nil="true"/>
    <FortumDMAuthors xmlns="02a69432-664c-401f-8103-d5aa6229c65c">
      <UserInfo>
        <DisplayName/>
        <AccountId xsi:nil="true"/>
        <AccountType/>
      </UserInfo>
    </FortumDMAuthors>
    <TaxCatchAll xmlns="1c1f5ffb-75f0-43ea-9c84-2c6d98883f5d">
      <Value>4</Value>
      <Value>10</Value>
      <Value>2</Value>
      <Value>1</Value>
    </TaxCatchAll>
    <FortumDMOrganisationTaxHTField0 xmlns="02a69432-664c-401f-8103-d5aa6229c65c">
      <Terms xmlns="http://schemas.microsoft.com/office/infopath/2007/PartnerControls">
        <TermInfo xmlns="http://schemas.microsoft.com/office/infopath/2007/PartnerControls">
          <TermName xmlns="http://schemas.microsoft.com/office/infopath/2007/PartnerControls">Distribution Sweden</TermName>
          <TermId xmlns="http://schemas.microsoft.com/office/infopath/2007/PartnerControls">5155b616-2ea6-4199-942f-58752faaa6cf</TermId>
        </TermInfo>
      </Terms>
    </FortumDMOrganisationTaxHTField0>
    <FortumDMOriginallyCreated xmlns="02a69432-664c-401f-8103-d5aa6229c65c">2020-02-16T23:00:00+00:00</FortumDMOriginallyCreated>
    <FortumDMSuppliedBy xmlns="02a69432-664c-401f-8103-d5aa6229c65c" xsi:nil="true"/>
    <FortumDMAppendices xmlns="02a69432-664c-401f-8103-d5aa6229c65c" xsi:nil="true"/>
    <Process xmlns="82f32430-1573-490c-b778-41be6ad0362d"/>
    <FortumDMDocumentTypeTaxHTField0 xmlns="02a69432-664c-401f-8103-d5aa6229c65c">
      <Terms xmlns="http://schemas.microsoft.com/office/infopath/2007/PartnerControls"/>
    </FortumDMDocumentTypeTaxHTField0>
    <FortumDMLocationTaxHTField0 xmlns="02a69432-664c-401f-8103-d5aa6229c65c">
      <Terms xmlns="http://schemas.microsoft.com/office/infopath/2007/PartnerControls">
        <TermInfo xmlns="http://schemas.microsoft.com/office/infopath/2007/PartnerControls">
          <TermName xmlns="http://schemas.microsoft.com/office/infopath/2007/PartnerControls">Sverige</TermName>
          <TermId xmlns="http://schemas.microsoft.com/office/infopath/2007/PartnerControls">6aa546b8-36a4-4e7f-b864-e8e384676b6a</TermId>
        </TermInfo>
      </Terms>
    </FortumDMLocationTaxHTField0>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E40826-CD74-40E8-96B2-B5D154A84DDD}"/>
</file>

<file path=customXml/itemProps2.xml><?xml version="1.0" encoding="utf-8"?>
<ds:datastoreItem xmlns:ds="http://schemas.openxmlformats.org/officeDocument/2006/customXml" ds:itemID="{3EB62BA5-8369-4006-BDDB-8B8C84805352}"/>
</file>

<file path=customXml/itemProps3.xml><?xml version="1.0" encoding="utf-8"?>
<ds:datastoreItem xmlns:ds="http://schemas.openxmlformats.org/officeDocument/2006/customXml" ds:itemID="{15F197AA-5018-4DEF-9092-8544B89EB3FA}"/>
</file>

<file path=customXml/itemProps4.xml><?xml version="1.0" encoding="utf-8"?>
<ds:datastoreItem xmlns:ds="http://schemas.openxmlformats.org/officeDocument/2006/customXml" ds:itemID="{0AB5196C-0CAF-4E83-AB11-5DA872A29CD7}"/>
</file>

<file path=customXml/itemProps5.xml><?xml version="1.0" encoding="utf-8"?>
<ds:datastoreItem xmlns:ds="http://schemas.openxmlformats.org/officeDocument/2006/customXml" ds:itemID="{82429C36-D8E1-4854-8FE2-00B0BDA7EDEA}"/>
</file>

<file path=docProps/app.xml><?xml version="1.0" encoding="utf-8"?>
<Properties xmlns="http://schemas.openxmlformats.org/officeDocument/2006/extended-properties" xmlns:vt="http://schemas.openxmlformats.org/officeDocument/2006/docPropsVTypes">
  <Application>Microsoft Excel Online</Application>
  <Manager/>
  <Company>Fortum Oyj</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 Torngren</dc:creator>
  <cp:keywords/>
  <dc:description/>
  <cp:lastModifiedBy>Johan Uggla - ugglajoh</cp:lastModifiedBy>
  <cp:revision/>
  <dcterms:created xsi:type="dcterms:W3CDTF">2007-03-05T19:23:06Z</dcterms:created>
  <dcterms:modified xsi:type="dcterms:W3CDTF">2022-09-26T10:08:05Z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Author">
    <vt:lpwstr/>
  </property>
  <property fmtid="{D5CDD505-2E9C-101B-9397-08002B2CF9AE}" pid="3" name="SPSDescription">
    <vt:lpwstr/>
  </property>
  <property fmtid="{D5CDD505-2E9C-101B-9397-08002B2CF9AE}" pid="4" name="UseID">
    <vt:lpwstr>-</vt:lpwstr>
  </property>
  <property fmtid="{D5CDD505-2E9C-101B-9397-08002B2CF9AE}" pid="5" name="Owner">
    <vt:lpwstr/>
  </property>
  <property fmtid="{D5CDD505-2E9C-101B-9397-08002B2CF9AE}" pid="6" name="Suffix">
    <vt:lpwstr/>
  </property>
  <property fmtid="{D5CDD505-2E9C-101B-9397-08002B2CF9AE}" pid="7" name="Document Number">
    <vt:lpwstr>73351</vt:lpwstr>
  </property>
  <property fmtid="{D5CDD505-2E9C-101B-9397-08002B2CF9AE}" pid="8" name="Status">
    <vt:lpwstr>In Review</vt:lpwstr>
  </property>
  <property fmtid="{D5CDD505-2E9C-101B-9397-08002B2CF9AE}" pid="9" name="TargetID">
    <vt:lpwstr>-</vt:lpwstr>
  </property>
  <property fmtid="{D5CDD505-2E9C-101B-9397-08002B2CF9AE}" pid="10" name="DocumentID">
    <vt:lpwstr>--73351</vt:lpwstr>
  </property>
  <property fmtid="{D5CDD505-2E9C-101B-9397-08002B2CF9AE}" pid="11" name="ModifiedBy">
    <vt:lpwstr>Sjolund Kent</vt:lpwstr>
  </property>
  <property fmtid="{D5CDD505-2E9C-101B-9397-08002B2CF9AE}" pid="12" name="ContentType">
    <vt:lpwstr>Dokument</vt:lpwstr>
  </property>
  <property fmtid="{D5CDD505-2E9C-101B-9397-08002B2CF9AE}" pid="13" name="Dokumenttyp">
    <vt:lpwstr/>
  </property>
  <property fmtid="{D5CDD505-2E9C-101B-9397-08002B2CF9AE}" pid="14" name="End to End process">
    <vt:lpwstr/>
  </property>
  <property fmtid="{D5CDD505-2E9C-101B-9397-08002B2CF9AE}" pid="15" name="ContentTypeId">
    <vt:lpwstr>0x01010089EB43F41807C3489C32AC8BD03E03320036E29D008F714546851E3328CE130AF1</vt:lpwstr>
  </property>
  <property fmtid="{D5CDD505-2E9C-101B-9397-08002B2CF9AE}" pid="16" name="_NewReviewCycle">
    <vt:lpwstr/>
  </property>
  <property fmtid="{D5CDD505-2E9C-101B-9397-08002B2CF9AE}" pid="17" name="FortumDMProcess">
    <vt:lpwstr/>
  </property>
  <property fmtid="{D5CDD505-2E9C-101B-9397-08002B2CF9AE}" pid="18" name="FortumDMLanguage">
    <vt:lpwstr>2;#svenska|52c73ba5-9293-4c1f-95eb-eee45aacb4f1</vt:lpwstr>
  </property>
  <property fmtid="{D5CDD505-2E9C-101B-9397-08002B2CF9AE}" pid="19" name="FortumDMLocation">
    <vt:lpwstr>4;#Sverige|6aa546b8-36a4-4e7f-b864-e8e384676b6a</vt:lpwstr>
  </property>
  <property fmtid="{D5CDD505-2E9C-101B-9397-08002B2CF9AE}" pid="20" name="FortumDMDocumentType">
    <vt:lpwstr/>
  </property>
  <property fmtid="{D5CDD505-2E9C-101B-9397-08002B2CF9AE}" pid="21" name="FortumDMConfidentiality">
    <vt:lpwstr>1;#Confidential (SV)|b7a3ce4c-48c8-4e42-97b3-d3b204cc3209</vt:lpwstr>
  </property>
  <property fmtid="{D5CDD505-2E9C-101B-9397-08002B2CF9AE}" pid="22" name="FortumDMOrganisation">
    <vt:lpwstr>10;#Distribution Sweden|5155b616-2ea6-4199-942f-58752faaa6cf</vt:lpwstr>
  </property>
  <property fmtid="{D5CDD505-2E9C-101B-9397-08002B2CF9AE}" pid="23" name="FortumDMPowerPlant">
    <vt:lpwstr/>
  </property>
  <property fmtid="{D5CDD505-2E9C-101B-9397-08002B2CF9AE}" pid="24" name="FortumDMApprovalStatus">
    <vt:lpwstr/>
  </property>
  <property fmtid="{D5CDD505-2E9C-101B-9397-08002B2CF9AE}" pid="25" name="FortumDMProcessTaxHTField0">
    <vt:lpwstr/>
  </property>
  <property fmtid="{D5CDD505-2E9C-101B-9397-08002B2CF9AE}" pid="26" name="FortumDMPowerPlantTaxHTField0">
    <vt:lpwstr/>
  </property>
  <property fmtid="{D5CDD505-2E9C-101B-9397-08002B2CF9AE}" pid="27" name="FortumDMApprovalStatusTaxHTField0">
    <vt:lpwstr/>
  </property>
  <property fmtid="{D5CDD505-2E9C-101B-9397-08002B2CF9AE}" pid="28" name="_dlc_DocIdItemGuid">
    <vt:lpwstr>48c1d7bd-9b1a-4fdb-94d4-b1ecc8948de6</vt:lpwstr>
  </property>
  <property fmtid="{D5CDD505-2E9C-101B-9397-08002B2CF9AE}" pid="29" name="FortumDMProjectName">
    <vt:lpwstr/>
  </property>
  <property fmtid="{D5CDD505-2E9C-101B-9397-08002B2CF9AE}" pid="30" name="FortumDMUnit">
    <vt:lpwstr/>
  </property>
  <property fmtid="{D5CDD505-2E9C-101B-9397-08002B2CF9AE}" pid="31" name="FortumDMAssociatedOrganisation ">
    <vt:lpwstr/>
  </property>
  <property fmtid="{D5CDD505-2E9C-101B-9397-08002B2CF9AE}" pid="32" name="FortumDMBusinessArea">
    <vt:lpwstr/>
  </property>
  <property fmtid="{D5CDD505-2E9C-101B-9397-08002B2CF9AE}" pid="33" name="FortumDMGeographicalLocation">
    <vt:lpwstr/>
  </property>
  <property fmtid="{D5CDD505-2E9C-101B-9397-08002B2CF9AE}" pid="34" name="FortumDMProjectNumber">
    <vt:lpwstr/>
  </property>
  <property fmtid="{D5CDD505-2E9C-101B-9397-08002B2CF9AE}" pid="35" name="FortumDMEquipmentIdentification">
    <vt:lpwstr/>
  </property>
  <property fmtid="{D5CDD505-2E9C-101B-9397-08002B2CF9AE}" pid="36" name="URL">
    <vt:lpwstr/>
  </property>
  <property fmtid="{D5CDD505-2E9C-101B-9397-08002B2CF9AE}" pid="37" name="Beskrivning">
    <vt:lpwstr/>
  </property>
  <property fmtid="{D5CDD505-2E9C-101B-9397-08002B2CF9AE}" pid="38" name="FortumDMAssociatedOrganisation">
    <vt:lpwstr/>
  </property>
  <property fmtid="{D5CDD505-2E9C-101B-9397-08002B2CF9AE}" pid="39" name="FortumDMConfidentialityTaxHTField0">
    <vt:lpwstr>Confidential (SV)|b7a3ce4c-48c8-4e42-97b3-d3b204cc3209</vt:lpwstr>
  </property>
  <property fmtid="{D5CDD505-2E9C-101B-9397-08002B2CF9AE}" pid="40" name="FortumDMLocationTaxHTField0">
    <vt:lpwstr>Sverige|6aa546b8-36a4-4e7f-b864-e8e384676b6a</vt:lpwstr>
  </property>
  <property fmtid="{D5CDD505-2E9C-101B-9397-08002B2CF9AE}" pid="41" name="FortumDMDocumentTypeTaxHTField0">
    <vt:lpwstr/>
  </property>
  <property fmtid="{D5CDD505-2E9C-101B-9397-08002B2CF9AE}" pid="42" name="FortumDMOrganisationTaxHTField0">
    <vt:lpwstr>Distribution Sweden|5155b616-2ea6-4199-942f-58752faaa6cf</vt:lpwstr>
  </property>
  <property fmtid="{D5CDD505-2E9C-101B-9397-08002B2CF9AE}" pid="43" name="FortumDMLanguageTaxHTField0">
    <vt:lpwstr>svenska|52c73ba5-9293-4c1f-95eb-eee45aacb4f1</vt:lpwstr>
  </property>
</Properties>
</file>